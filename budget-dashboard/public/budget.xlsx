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\Documents\PycharmProjects\FinancialDashboard\budget-dashboard\public\"/>
    </mc:Choice>
  </mc:AlternateContent>
  <xr:revisionPtr revIDLastSave="0" documentId="13_ncr:1_{7576883E-71F0-402A-86BE-BABA29ABE483}" xr6:coauthVersionLast="47" xr6:coauthVersionMax="47" xr10:uidLastSave="{00000000-0000-0000-0000-000000000000}"/>
  <bookViews>
    <workbookView xWindow="29370" yWindow="-3525" windowWidth="25080" windowHeight="15480" xr2:uid="{AB41CCEA-6DC9-4FE2-81C8-E03C986F16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8" i="1" l="1"/>
  <c r="O22" i="1"/>
  <c r="O17" i="1"/>
  <c r="O12" i="1"/>
  <c r="O7" i="1"/>
  <c r="N13" i="1"/>
  <c r="N8" i="1"/>
  <c r="Q8" i="1"/>
  <c r="R8" i="1"/>
  <c r="I3" i="1"/>
  <c r="I4" i="1" s="1"/>
  <c r="I5" i="1" s="1"/>
  <c r="I6" i="1" s="1"/>
  <c r="I7" i="1" s="1"/>
  <c r="I8" i="1" s="1"/>
  <c r="O5" i="1"/>
  <c r="Q5" i="1"/>
  <c r="J3" i="1" s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R5" i="1"/>
  <c r="I9" i="1" l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N12" i="1"/>
  <c r="Q12" i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Q13" i="1"/>
  <c r="Q17" i="1" s="1"/>
  <c r="Q18" i="1" s="1"/>
  <c r="Q22" i="1" s="1"/>
  <c r="Q23" i="1" s="1"/>
  <c r="R12" i="1"/>
  <c r="R13" i="1" s="1"/>
  <c r="R17" i="1" s="1"/>
  <c r="R18" i="1" s="1"/>
  <c r="R22" i="1" s="1"/>
  <c r="R23" i="1" s="1"/>
  <c r="L3" i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N17" i="1"/>
  <c r="N18" i="1" s="1"/>
  <c r="N22" i="1" s="1"/>
  <c r="N23" i="1" s="1"/>
  <c r="T7" i="1"/>
  <c r="T3" i="1"/>
  <c r="U3" i="1" s="1"/>
  <c r="S4" i="1" l="1"/>
  <c r="S5" i="1"/>
  <c r="R28" i="1" l="1"/>
  <c r="R29" i="1" s="1"/>
  <c r="T25" i="1" l="1"/>
  <c r="S6" i="1" l="1"/>
  <c r="T8" i="1" l="1"/>
  <c r="T13" i="1"/>
  <c r="S7" i="1" l="1"/>
  <c r="U7" i="1" s="1"/>
  <c r="T14" i="1"/>
  <c r="T18" i="1" l="1"/>
  <c r="S8" i="1"/>
  <c r="U8" i="1" s="1"/>
  <c r="S9" i="1" l="1"/>
  <c r="T19" i="1"/>
  <c r="N28" i="1" l="1"/>
  <c r="S10" i="1"/>
  <c r="S11" i="1" l="1"/>
  <c r="N29" i="1"/>
  <c r="S12" i="1" l="1"/>
  <c r="S13" i="1" l="1"/>
  <c r="U13" i="1" s="1"/>
  <c r="S14" i="1" l="1"/>
  <c r="U14" i="1" s="1"/>
  <c r="S15" i="1" l="1"/>
  <c r="S16" i="1" l="1"/>
  <c r="S17" i="1" l="1"/>
  <c r="U18" i="1" s="1"/>
  <c r="S18" i="1" l="1"/>
  <c r="S19" i="1" l="1"/>
  <c r="U19" i="1" s="1"/>
  <c r="T24" i="1"/>
  <c r="S21" i="1" l="1"/>
  <c r="Q28" i="1"/>
  <c r="S20" i="1"/>
  <c r="T28" i="1" l="1"/>
  <c r="Q29" i="1"/>
  <c r="T29" i="1" s="1"/>
  <c r="U29" i="1" s="1"/>
  <c r="S22" i="1"/>
  <c r="S23" i="1" l="1"/>
  <c r="U24" i="1" s="1"/>
  <c r="S24" i="1" l="1"/>
  <c r="S25" i="1" l="1"/>
  <c r="U25" i="1" s="1"/>
  <c r="S26" i="1" l="1"/>
  <c r="S27" i="1" l="1"/>
  <c r="S29" i="1" l="1"/>
  <c r="S28" i="1"/>
  <c r="U28" i="1" s="1"/>
</calcChain>
</file>

<file path=xl/sharedStrings.xml><?xml version="1.0" encoding="utf-8"?>
<sst xmlns="http://schemas.openxmlformats.org/spreadsheetml/2006/main" count="21" uniqueCount="19">
  <si>
    <t>Paycheck</t>
  </si>
  <si>
    <t>Date</t>
  </si>
  <si>
    <t>Bofa</t>
  </si>
  <si>
    <t>Spending</t>
  </si>
  <si>
    <t>Checking</t>
  </si>
  <si>
    <t>Chase</t>
  </si>
  <si>
    <t>Notes</t>
  </si>
  <si>
    <t>Rent</t>
  </si>
  <si>
    <t>BofA Payment</t>
  </si>
  <si>
    <t>Chase Payment</t>
  </si>
  <si>
    <t>Chase Statement</t>
  </si>
  <si>
    <t>Total</t>
  </si>
  <si>
    <t>BofA 2 Payment</t>
  </si>
  <si>
    <t>BofA Balance</t>
  </si>
  <si>
    <t>TOTAL</t>
  </si>
  <si>
    <t>BofA Balance (2)</t>
  </si>
  <si>
    <t>CASH</t>
  </si>
  <si>
    <t>Bofa2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</si>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</sst>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3F3F76"/>
      <name val="Aptos Narrow"/>
      <family val="2"/>
      <scheme val="minor"/>
    </font>
    <font>
      <sz val="8"/>
      <color rgb="FF333333"/>
      <name val="Verdana"/>
      <family val="2"/>
    </font>
    <font>
      <b/>
      <sz val="9"/>
      <color rgb="FF333333"/>
      <name val="Verdana"/>
      <family val="2"/>
    </font>
    <font>
      <sz val="11"/>
      <color rgb="FF565A5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B0FF97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1" fillId="5" borderId="2" applyNumberFormat="0" applyFont="0" applyAlignment="0" applyProtection="0"/>
  </cellStyleXfs>
  <cellXfs count="31">
    <xf numFmtId="0" fontId="0" fillId="0" borderId="0" xfId="0"/>
    <xf numFmtId="0" fontId="5" fillId="0" borderId="0" xfId="0" applyFont="1"/>
    <xf numFmtId="0" fontId="7" fillId="5" borderId="3" xfId="4" applyFont="1" applyBorder="1"/>
    <xf numFmtId="0" fontId="7" fillId="2" borderId="3" xfId="1" applyFont="1" applyBorder="1"/>
    <xf numFmtId="0" fontId="7" fillId="3" borderId="3" xfId="2" applyFont="1" applyBorder="1"/>
    <xf numFmtId="16" fontId="7" fillId="5" borderId="3" xfId="4" applyNumberFormat="1" applyFont="1" applyBorder="1"/>
    <xf numFmtId="4" fontId="7" fillId="5" borderId="3" xfId="4" applyNumberFormat="1" applyFont="1" applyBorder="1"/>
    <xf numFmtId="0" fontId="7" fillId="4" borderId="3" xfId="3" applyFont="1" applyBorder="1"/>
    <xf numFmtId="0" fontId="7" fillId="5" borderId="3" xfId="4" applyFont="1" applyBorder="1" applyAlignment="1">
      <alignment horizontal="center"/>
    </xf>
    <xf numFmtId="8" fontId="7" fillId="4" borderId="3" xfId="3" applyNumberFormat="1" applyFont="1" applyBorder="1"/>
    <xf numFmtId="4" fontId="7" fillId="3" borderId="3" xfId="2" applyNumberFormat="1" applyFont="1" applyBorder="1"/>
    <xf numFmtId="4" fontId="7" fillId="4" borderId="3" xfId="3" applyNumberFormat="1" applyFont="1" applyBorder="1"/>
    <xf numFmtId="4" fontId="7" fillId="6" borderId="3" xfId="2" applyNumberFormat="1" applyFont="1" applyFill="1" applyBorder="1"/>
    <xf numFmtId="164" fontId="7" fillId="3" borderId="3" xfId="2" applyNumberFormat="1" applyFont="1" applyBorder="1"/>
    <xf numFmtId="164" fontId="7" fillId="7" borderId="3" xfId="2" applyNumberFormat="1" applyFont="1" applyFill="1" applyBorder="1"/>
    <xf numFmtId="4" fontId="7" fillId="7" borderId="3" xfId="4" applyNumberFormat="1" applyFont="1" applyFill="1" applyBorder="1"/>
    <xf numFmtId="0" fontId="8" fillId="4" borderId="3" xfId="3" applyFont="1" applyBorder="1"/>
    <xf numFmtId="0" fontId="7" fillId="7" borderId="3" xfId="4" applyFont="1" applyFill="1" applyBorder="1"/>
    <xf numFmtId="8" fontId="7" fillId="7" borderId="3" xfId="3" applyNumberFormat="1" applyFont="1" applyFill="1" applyBorder="1"/>
    <xf numFmtId="4" fontId="5" fillId="4" borderId="1" xfId="3" applyNumberFormat="1" applyFont="1"/>
    <xf numFmtId="0" fontId="5" fillId="8" borderId="3" xfId="1" applyFont="1" applyFill="1" applyBorder="1"/>
    <xf numFmtId="4" fontId="5" fillId="7" borderId="1" xfId="3" applyNumberFormat="1" applyFont="1" applyFill="1"/>
    <xf numFmtId="8" fontId="0" fillId="0" borderId="0" xfId="0" applyNumberFormat="1"/>
    <xf numFmtId="4" fontId="9" fillId="0" borderId="0" xfId="0" applyNumberFormat="1" applyFont="1"/>
    <xf numFmtId="4" fontId="7" fillId="4" borderId="1" xfId="3" applyNumberFormat="1" applyFont="1"/>
    <xf numFmtId="8" fontId="9" fillId="0" borderId="0" xfId="0" applyNumberFormat="1" applyFont="1"/>
    <xf numFmtId="4" fontId="10" fillId="0" borderId="0" xfId="0" applyNumberFormat="1" applyFont="1"/>
    <xf numFmtId="4" fontId="7" fillId="7" borderId="1" xfId="3" applyNumberFormat="1" applyFont="1" applyFill="1"/>
    <xf numFmtId="0" fontId="7" fillId="5" borderId="3" xfId="4" applyFont="1" applyBorder="1" applyAlignment="1">
      <alignment horizontal="center"/>
    </xf>
    <xf numFmtId="4" fontId="5" fillId="0" borderId="0" xfId="0" applyNumberFormat="1" applyFont="1"/>
    <xf numFmtId="0" fontId="11" fillId="0" borderId="0" xfId="0" applyFont="1"/>
  </cellXfs>
  <cellStyles count="5">
    <cellStyle name="Bad" xfId="2" builtinId="27"/>
    <cellStyle name="Good" xfId="1" builtinId="26"/>
    <cellStyle name="Input" xfId="3" builtinId="20"/>
    <cellStyle name="Normal" xfId="0" builtinId="0"/>
    <cellStyle name="Note" xfId="4" builtinId="10"/>
  </cellStyles>
  <dxfs count="0"/>
  <tableStyles count="0" defaultTableStyle="TableStyleMedium2" defaultPivotStyle="PivotStyleLight16"/>
  <colors>
    <mruColors>
      <color rgb="FFB0FF97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83031-DB9A-4476-88C9-66DCDD796C5D}">
  <dimension ref="A1:U39"/>
  <sheetViews>
    <sheetView tabSelected="1" zoomScale="85" zoomScaleNormal="85" workbookViewId="0">
      <selection activeCell="Q11" sqref="Q11"/>
    </sheetView>
  </sheetViews>
  <sheetFormatPr defaultRowHeight="15" x14ac:dyDescent="0.25"/>
  <cols>
    <col min="2" max="2" width="8.5703125" bestFit="1" customWidth="1"/>
    <col min="3" max="4" width="9.42578125" bestFit="1" customWidth="1"/>
    <col min="5" max="5" width="9.42578125" customWidth="1"/>
    <col min="6" max="6" width="15.140625" bestFit="1" customWidth="1"/>
    <col min="7" max="7" width="15.140625" customWidth="1"/>
    <col min="8" max="8" width="15.140625" bestFit="1" customWidth="1"/>
    <col min="9" max="9" width="9.5703125" customWidth="1"/>
    <col min="10" max="10" width="8.85546875" bestFit="1" customWidth="1"/>
    <col min="11" max="11" width="10.140625" bestFit="1" customWidth="1"/>
    <col min="12" max="12" width="9.28515625" bestFit="1" customWidth="1"/>
    <col min="13" max="13" width="36.140625" customWidth="1"/>
    <col min="14" max="15" width="10.5703125" style="1" bestFit="1" customWidth="1"/>
    <col min="16" max="16" width="9.140625" style="1"/>
    <col min="17" max="17" width="12.5703125" bestFit="1" customWidth="1"/>
    <col min="18" max="19" width="15.5703125" bestFit="1" customWidth="1"/>
    <col min="21" max="21" width="10.85546875" bestFit="1" customWidth="1"/>
  </cols>
  <sheetData>
    <row r="1" spans="1:21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16"/>
      <c r="U1" s="7"/>
    </row>
    <row r="2" spans="1:21" x14ac:dyDescent="0.25">
      <c r="A2" s="7"/>
      <c r="B2" s="2" t="s">
        <v>1</v>
      </c>
      <c r="C2" s="3" t="s">
        <v>0</v>
      </c>
      <c r="D2" s="4" t="s">
        <v>3</v>
      </c>
      <c r="E2" s="4" t="s">
        <v>7</v>
      </c>
      <c r="F2" s="4" t="s">
        <v>8</v>
      </c>
      <c r="G2" s="4" t="s">
        <v>12</v>
      </c>
      <c r="H2" s="4" t="s">
        <v>9</v>
      </c>
      <c r="I2" s="2" t="s">
        <v>4</v>
      </c>
      <c r="J2" s="2" t="s">
        <v>2</v>
      </c>
      <c r="K2" s="2" t="s">
        <v>5</v>
      </c>
      <c r="L2" s="2" t="s">
        <v>17</v>
      </c>
      <c r="M2" s="2" t="s">
        <v>6</v>
      </c>
      <c r="N2" s="28" t="s">
        <v>10</v>
      </c>
      <c r="O2" s="28"/>
      <c r="P2" s="8"/>
      <c r="Q2" s="2" t="s">
        <v>13</v>
      </c>
      <c r="R2" s="2" t="s">
        <v>15</v>
      </c>
      <c r="S2" s="2" t="s">
        <v>4</v>
      </c>
      <c r="T2" s="4" t="s">
        <v>14</v>
      </c>
      <c r="U2" s="17" t="s">
        <v>16</v>
      </c>
    </row>
    <row r="3" spans="1:21" x14ac:dyDescent="0.25">
      <c r="A3" s="7"/>
      <c r="B3" s="5">
        <v>46115</v>
      </c>
      <c r="C3" s="3">
        <v>0</v>
      </c>
      <c r="D3" s="4">
        <v>0</v>
      </c>
      <c r="E3" s="2">
        <v>0</v>
      </c>
      <c r="F3" s="2">
        <v>0</v>
      </c>
      <c r="G3" s="2">
        <v>0</v>
      </c>
      <c r="H3" s="2">
        <v>0</v>
      </c>
      <c r="I3" s="6">
        <f>S3</f>
        <v>375.01</v>
      </c>
      <c r="J3" s="6">
        <f>Q5-F3</f>
        <v>12000</v>
      </c>
      <c r="K3" s="6">
        <f>O5-H3</f>
        <v>327.73</v>
      </c>
      <c r="L3" s="6">
        <f>R5-G3+D3</f>
        <v>23950.04</v>
      </c>
      <c r="M3" s="2"/>
      <c r="N3" s="8" t="s">
        <v>11</v>
      </c>
      <c r="O3" s="2">
        <v>174.07</v>
      </c>
      <c r="P3" s="8" t="s">
        <v>11</v>
      </c>
      <c r="Q3" s="6">
        <v>12000</v>
      </c>
      <c r="R3" s="2">
        <v>23529.919999999998</v>
      </c>
      <c r="S3" s="15">
        <v>375.01</v>
      </c>
      <c r="T3" s="10">
        <f>O5+Q5+R5</f>
        <v>36277.770000000004</v>
      </c>
      <c r="U3" s="13">
        <f>S3-T3</f>
        <v>-35902.76</v>
      </c>
    </row>
    <row r="4" spans="1:21" x14ac:dyDescent="0.25">
      <c r="A4" s="7"/>
      <c r="B4" s="5">
        <v>46116</v>
      </c>
      <c r="C4" s="3">
        <v>0</v>
      </c>
      <c r="D4" s="4">
        <v>0</v>
      </c>
      <c r="E4" s="2">
        <v>0</v>
      </c>
      <c r="F4" s="2">
        <v>0</v>
      </c>
      <c r="G4" s="2">
        <v>0</v>
      </c>
      <c r="H4" s="2">
        <v>0</v>
      </c>
      <c r="I4" s="6">
        <f>I3+C4-E4-F4-G4-H4</f>
        <v>375.01</v>
      </c>
      <c r="J4" s="15">
        <f>J3-F4</f>
        <v>12000</v>
      </c>
      <c r="K4" s="15">
        <f>K3-H4</f>
        <v>327.73</v>
      </c>
      <c r="L4" s="6">
        <f>L3-G4+D4</f>
        <v>23950.04</v>
      </c>
      <c r="M4" s="2"/>
      <c r="N4" s="2"/>
      <c r="O4" s="4">
        <v>153.66</v>
      </c>
      <c r="P4" s="2"/>
      <c r="Q4" s="4">
        <v>0</v>
      </c>
      <c r="R4" s="10">
        <v>420.12000000000262</v>
      </c>
      <c r="S4" s="6">
        <f>I4</f>
        <v>375.01</v>
      </c>
      <c r="T4" s="2"/>
      <c r="U4" s="2"/>
    </row>
    <row r="5" spans="1:21" x14ac:dyDescent="0.25">
      <c r="A5" s="7"/>
      <c r="B5" s="5">
        <v>46121</v>
      </c>
      <c r="C5" s="3">
        <v>3000</v>
      </c>
      <c r="D5" s="4">
        <v>200</v>
      </c>
      <c r="E5" s="2">
        <v>0</v>
      </c>
      <c r="F5" s="2">
        <v>0</v>
      </c>
      <c r="G5" s="2">
        <v>0</v>
      </c>
      <c r="H5" s="9">
        <v>174.07</v>
      </c>
      <c r="I5" s="6">
        <f>I4+C5-E5-F5-G5-H5</f>
        <v>3200.94</v>
      </c>
      <c r="J5" s="15">
        <f>J4-F5</f>
        <v>12000</v>
      </c>
      <c r="K5" s="15">
        <f>K4-H5</f>
        <v>153.66000000000003</v>
      </c>
      <c r="L5" s="6">
        <f>L4-G5+D5</f>
        <v>24150.04</v>
      </c>
      <c r="M5" s="2"/>
      <c r="N5" s="2"/>
      <c r="O5" s="2">
        <f>O3+O4</f>
        <v>327.73</v>
      </c>
      <c r="P5" s="2"/>
      <c r="Q5" s="6">
        <f>SUM(Q3:Q4)</f>
        <v>12000</v>
      </c>
      <c r="R5" s="2">
        <f>SUM(R3:R4)</f>
        <v>23950.04</v>
      </c>
      <c r="S5" s="6">
        <f>I5</f>
        <v>3200.94</v>
      </c>
      <c r="T5" s="2"/>
      <c r="U5" s="2"/>
    </row>
    <row r="6" spans="1:21" x14ac:dyDescent="0.25">
      <c r="A6" s="7"/>
      <c r="B6" s="5">
        <v>46128</v>
      </c>
      <c r="C6" s="3">
        <v>0</v>
      </c>
      <c r="D6" s="4">
        <v>200</v>
      </c>
      <c r="E6" s="2">
        <v>0</v>
      </c>
      <c r="F6" s="2">
        <v>0</v>
      </c>
      <c r="G6" s="2">
        <v>0</v>
      </c>
      <c r="H6" s="2">
        <v>0</v>
      </c>
      <c r="I6" s="6">
        <f>I5+C6-E6-F6-G6-H6</f>
        <v>3200.94</v>
      </c>
      <c r="J6" s="15">
        <f>J5-F6</f>
        <v>12000</v>
      </c>
      <c r="K6" s="15">
        <f>K5-H6</f>
        <v>153.66000000000003</v>
      </c>
      <c r="L6" s="6">
        <f>L5-G6+D6</f>
        <v>24350.04</v>
      </c>
      <c r="M6" s="2"/>
      <c r="N6" s="2"/>
      <c r="O6" s="2"/>
      <c r="P6" s="2"/>
      <c r="Q6" s="2"/>
      <c r="R6" s="2"/>
      <c r="S6" s="6">
        <f>I6</f>
        <v>3200.94</v>
      </c>
      <c r="T6" s="2" t="s">
        <v>18</v>
      </c>
      <c r="U6" s="2"/>
    </row>
    <row r="7" spans="1:21" x14ac:dyDescent="0.25">
      <c r="A7" s="7"/>
      <c r="B7" s="5">
        <v>46135</v>
      </c>
      <c r="C7" s="3">
        <v>3000</v>
      </c>
      <c r="D7" s="4">
        <v>200</v>
      </c>
      <c r="E7" s="2">
        <v>0</v>
      </c>
      <c r="F7" s="2">
        <v>0</v>
      </c>
      <c r="G7" s="2">
        <v>0</v>
      </c>
      <c r="H7" s="2">
        <v>0</v>
      </c>
      <c r="I7" s="6">
        <f>I6+C7-E7-F7-G7-H7</f>
        <v>6200.9400000000005</v>
      </c>
      <c r="J7" s="15">
        <f>J6-F7</f>
        <v>12000</v>
      </c>
      <c r="K7" s="15">
        <f>K6-H7</f>
        <v>153.66000000000003</v>
      </c>
      <c r="L7" s="6">
        <f>L6-G7+D7</f>
        <v>24550.04</v>
      </c>
      <c r="M7" s="2"/>
      <c r="N7" s="9">
        <v>174.07</v>
      </c>
      <c r="O7" s="4">
        <f>SUM(D3:D8)</f>
        <v>800</v>
      </c>
      <c r="P7" s="2"/>
      <c r="Q7" s="11">
        <v>9504</v>
      </c>
      <c r="R7" s="11">
        <v>22125.73</v>
      </c>
      <c r="S7" s="6">
        <f>I7</f>
        <v>6200.9400000000005</v>
      </c>
      <c r="T7" s="10">
        <f>N7+Q7+R7</f>
        <v>31803.8</v>
      </c>
      <c r="U7" s="13">
        <f>S7-T7</f>
        <v>-25602.86</v>
      </c>
    </row>
    <row r="8" spans="1:21" x14ac:dyDescent="0.25">
      <c r="A8" s="7"/>
      <c r="B8" s="5">
        <v>46142</v>
      </c>
      <c r="C8" s="3">
        <v>0</v>
      </c>
      <c r="D8" s="4">
        <v>200</v>
      </c>
      <c r="E8" s="4">
        <v>1938</v>
      </c>
      <c r="F8" s="2">
        <v>0</v>
      </c>
      <c r="G8" s="2">
        <v>0</v>
      </c>
      <c r="H8" s="2">
        <v>0</v>
      </c>
      <c r="I8" s="6">
        <f>I7+C8-E8-F8-G8-H8</f>
        <v>4262.9400000000005</v>
      </c>
      <c r="J8" s="15">
        <f>J7-F8</f>
        <v>12000</v>
      </c>
      <c r="K8" s="15">
        <f>K7-H8</f>
        <v>153.66000000000003</v>
      </c>
      <c r="L8" s="6">
        <f>L7-G8+D8</f>
        <v>24750.04</v>
      </c>
      <c r="M8" s="2"/>
      <c r="N8" s="9">
        <f>N7-H5</f>
        <v>0</v>
      </c>
      <c r="O8" s="2"/>
      <c r="P8" s="2"/>
      <c r="Q8" s="11">
        <f>Q7-F5</f>
        <v>9504</v>
      </c>
      <c r="R8" s="11">
        <f>R7-G5</f>
        <v>22125.73</v>
      </c>
      <c r="S8" s="6">
        <f>I8</f>
        <v>4262.9400000000005</v>
      </c>
      <c r="T8" s="10">
        <f>N8+Q8+R8</f>
        <v>31629.73</v>
      </c>
      <c r="U8" s="13">
        <f>S8-T8</f>
        <v>-27366.79</v>
      </c>
    </row>
    <row r="9" spans="1:21" x14ac:dyDescent="0.25">
      <c r="A9" s="7"/>
      <c r="B9" s="5">
        <v>46149</v>
      </c>
      <c r="C9" s="3">
        <v>3000</v>
      </c>
      <c r="D9" s="4">
        <v>200</v>
      </c>
      <c r="E9" s="2">
        <v>0</v>
      </c>
      <c r="F9" s="12">
        <v>0</v>
      </c>
      <c r="G9" s="12">
        <v>0</v>
      </c>
      <c r="H9" s="9">
        <v>153.66000000000003</v>
      </c>
      <c r="I9" s="6">
        <f>I8+C9-E9-F9-G9-H9</f>
        <v>7109.2800000000007</v>
      </c>
      <c r="J9" s="15">
        <f>J8-F9</f>
        <v>12000</v>
      </c>
      <c r="K9" s="15">
        <f>K8-H9</f>
        <v>0</v>
      </c>
      <c r="L9" s="6">
        <f>L8-G9+D9</f>
        <v>24950.04</v>
      </c>
      <c r="M9" s="2"/>
      <c r="N9" s="2"/>
      <c r="O9" s="2"/>
      <c r="P9" s="2"/>
      <c r="Q9" s="2"/>
      <c r="R9" s="2"/>
      <c r="S9" s="6">
        <f>I9</f>
        <v>7109.2800000000007</v>
      </c>
      <c r="T9" s="2"/>
      <c r="U9" s="2"/>
    </row>
    <row r="10" spans="1:21" x14ac:dyDescent="0.25">
      <c r="A10" s="7"/>
      <c r="B10" s="5">
        <v>46156</v>
      </c>
      <c r="C10" s="20">
        <v>0</v>
      </c>
      <c r="D10" s="4">
        <v>200</v>
      </c>
      <c r="E10" s="2">
        <v>0</v>
      </c>
      <c r="F10" s="2">
        <v>0</v>
      </c>
      <c r="G10" s="2">
        <v>0</v>
      </c>
      <c r="H10" s="2">
        <v>0</v>
      </c>
      <c r="I10" s="6">
        <f>I9+C10-E10-F10-G10-H10</f>
        <v>7109.2800000000007</v>
      </c>
      <c r="J10" s="15">
        <f>J9-F10</f>
        <v>12000</v>
      </c>
      <c r="K10" s="15">
        <f>K9-H10</f>
        <v>0</v>
      </c>
      <c r="L10" s="6">
        <f>L9-G10+D10</f>
        <v>25150.04</v>
      </c>
      <c r="M10" s="2"/>
      <c r="N10" s="2"/>
      <c r="O10" s="2"/>
      <c r="P10" s="2"/>
      <c r="Q10" s="2"/>
      <c r="R10" s="2"/>
      <c r="S10" s="6">
        <f>I10</f>
        <v>7109.2800000000007</v>
      </c>
      <c r="T10" s="2"/>
      <c r="U10" s="2"/>
    </row>
    <row r="11" spans="1:21" x14ac:dyDescent="0.25">
      <c r="A11" s="7"/>
      <c r="B11" s="5">
        <v>46163</v>
      </c>
      <c r="C11" s="3">
        <v>3850</v>
      </c>
      <c r="D11" s="4">
        <v>200</v>
      </c>
      <c r="E11" s="2">
        <v>0</v>
      </c>
      <c r="F11" s="2">
        <v>0</v>
      </c>
      <c r="G11" s="2">
        <v>0</v>
      </c>
      <c r="H11" s="2">
        <v>0</v>
      </c>
      <c r="I11" s="6">
        <f>I10+C11-E11-F11-G11-H11</f>
        <v>10959.28</v>
      </c>
      <c r="J11" s="15">
        <f>J10-F11</f>
        <v>12000</v>
      </c>
      <c r="K11" s="15">
        <f>K10-H11</f>
        <v>0</v>
      </c>
      <c r="L11" s="6">
        <f>L10-G11+D11</f>
        <v>25350.04</v>
      </c>
      <c r="M11" s="2"/>
      <c r="N11" s="2"/>
      <c r="O11" s="2"/>
      <c r="P11" s="2"/>
      <c r="Q11" s="2"/>
      <c r="R11" s="2"/>
      <c r="S11" s="6">
        <f>I11</f>
        <v>10959.28</v>
      </c>
      <c r="T11" s="2"/>
      <c r="U11" s="2"/>
    </row>
    <row r="12" spans="1:21" x14ac:dyDescent="0.25">
      <c r="A12" s="7"/>
      <c r="B12" s="5">
        <v>46170</v>
      </c>
      <c r="C12" s="3">
        <v>0</v>
      </c>
      <c r="D12" s="4">
        <v>200</v>
      </c>
      <c r="E12" s="2">
        <v>0</v>
      </c>
      <c r="F12" s="2">
        <v>0</v>
      </c>
      <c r="G12" s="2">
        <v>0</v>
      </c>
      <c r="H12" s="2">
        <v>0</v>
      </c>
      <c r="I12" s="6">
        <f>I11+C12-E12-F12-G12-H12</f>
        <v>10959.28</v>
      </c>
      <c r="J12" s="15">
        <f>J11-F12</f>
        <v>12000</v>
      </c>
      <c r="K12" s="15">
        <f>K11-H12</f>
        <v>0</v>
      </c>
      <c r="L12" s="6">
        <f>L11-G12+D12</f>
        <v>25550.04</v>
      </c>
      <c r="M12" s="2"/>
      <c r="N12" s="11">
        <f>N8 + (O5-N7)</f>
        <v>153.66000000000003</v>
      </c>
      <c r="O12" s="4">
        <f>SUM(D9:D13)</f>
        <v>800</v>
      </c>
      <c r="P12" s="2"/>
      <c r="Q12" s="11">
        <f>Q8 + (Q5-Q7)</f>
        <v>12000</v>
      </c>
      <c r="R12" s="11">
        <f>R8 + (R5-R7) + O7</f>
        <v>24750.04</v>
      </c>
      <c r="S12" s="6">
        <f>I12</f>
        <v>10959.28</v>
      </c>
      <c r="T12" s="2"/>
      <c r="U12" s="2"/>
    </row>
    <row r="13" spans="1:21" x14ac:dyDescent="0.25">
      <c r="A13" s="7"/>
      <c r="B13" s="5">
        <v>46172</v>
      </c>
      <c r="C13" s="3">
        <v>0</v>
      </c>
      <c r="D13" s="4">
        <v>0</v>
      </c>
      <c r="E13" s="4">
        <v>1938</v>
      </c>
      <c r="F13" s="2">
        <v>0</v>
      </c>
      <c r="G13" s="2">
        <v>0</v>
      </c>
      <c r="H13" s="2">
        <v>0</v>
      </c>
      <c r="I13" s="6">
        <f>I12+C13-E13-F13-G13-H13</f>
        <v>9021.2800000000007</v>
      </c>
      <c r="J13" s="15">
        <f>J12-F13</f>
        <v>12000</v>
      </c>
      <c r="K13" s="15">
        <f>K12-H13</f>
        <v>0</v>
      </c>
      <c r="L13" s="6">
        <f>L12-G13+D13</f>
        <v>25550.04</v>
      </c>
      <c r="M13" s="2"/>
      <c r="N13" s="18">
        <f>N12-H9</f>
        <v>0</v>
      </c>
      <c r="O13" s="2"/>
      <c r="P13" s="2"/>
      <c r="Q13" s="11">
        <f>Q12-F10</f>
        <v>12000</v>
      </c>
      <c r="R13" s="11">
        <f>R12-G10</f>
        <v>24750.04</v>
      </c>
      <c r="S13" s="6">
        <f>I13</f>
        <v>9021.2800000000007</v>
      </c>
      <c r="T13" s="10">
        <f>N12+Q12+R12</f>
        <v>36903.699999999997</v>
      </c>
      <c r="U13" s="13">
        <f>S13-T13</f>
        <v>-27882.42</v>
      </c>
    </row>
    <row r="14" spans="1:21" x14ac:dyDescent="0.25">
      <c r="A14" s="7"/>
      <c r="B14" s="5">
        <v>46177</v>
      </c>
      <c r="C14" s="3">
        <v>3850</v>
      </c>
      <c r="D14" s="4">
        <v>200</v>
      </c>
      <c r="E14" s="2">
        <v>0</v>
      </c>
      <c r="F14" s="12">
        <v>0</v>
      </c>
      <c r="G14" s="12">
        <v>2</v>
      </c>
      <c r="H14" s="9">
        <v>0</v>
      </c>
      <c r="I14" s="6">
        <f>I13+C14-E14-F14-G14-H14</f>
        <v>12869.28</v>
      </c>
      <c r="J14" s="15">
        <f>J13-F14</f>
        <v>12000</v>
      </c>
      <c r="K14" s="15">
        <f>K13-H14</f>
        <v>0</v>
      </c>
      <c r="L14" s="6">
        <f>L13-G14+D14</f>
        <v>25748.04</v>
      </c>
      <c r="M14" s="2"/>
      <c r="N14" s="2"/>
      <c r="O14" s="2"/>
      <c r="P14" s="2"/>
      <c r="Q14" s="2"/>
      <c r="R14" s="2"/>
      <c r="S14" s="6">
        <f>I14</f>
        <v>12869.28</v>
      </c>
      <c r="T14" s="10">
        <f>N13+Q13+R13</f>
        <v>36750.04</v>
      </c>
      <c r="U14" s="13">
        <f>S14-T14</f>
        <v>-23880.760000000002</v>
      </c>
    </row>
    <row r="15" spans="1:21" x14ac:dyDescent="0.25">
      <c r="A15" s="7"/>
      <c r="B15" s="5">
        <v>46184</v>
      </c>
      <c r="C15" s="20">
        <v>0</v>
      </c>
      <c r="D15" s="4">
        <v>200</v>
      </c>
      <c r="E15" s="2">
        <v>0</v>
      </c>
      <c r="F15" s="2">
        <v>0</v>
      </c>
      <c r="G15" s="2">
        <v>0</v>
      </c>
      <c r="H15" s="2">
        <v>0</v>
      </c>
      <c r="I15" s="6">
        <f>I14+C15-E15-F15-G15-H15</f>
        <v>12869.28</v>
      </c>
      <c r="J15" s="15">
        <f>J14-F15</f>
        <v>12000</v>
      </c>
      <c r="K15" s="15">
        <f>K14-H15</f>
        <v>0</v>
      </c>
      <c r="L15" s="6">
        <f>L14-G15+D15</f>
        <v>25948.04</v>
      </c>
      <c r="M15" s="2"/>
      <c r="N15" s="2"/>
      <c r="O15" s="2"/>
      <c r="P15" s="2"/>
      <c r="Q15" s="2"/>
      <c r="R15" s="2"/>
      <c r="S15" s="6">
        <f>I15</f>
        <v>12869.28</v>
      </c>
      <c r="T15" s="2"/>
      <c r="U15" s="2"/>
    </row>
    <row r="16" spans="1:21" x14ac:dyDescent="0.25">
      <c r="A16" s="7"/>
      <c r="B16" s="5">
        <v>46191</v>
      </c>
      <c r="C16" s="3">
        <v>3850</v>
      </c>
      <c r="D16" s="4">
        <v>200</v>
      </c>
      <c r="E16" s="2">
        <v>0</v>
      </c>
      <c r="F16" s="2">
        <v>0</v>
      </c>
      <c r="G16" s="2">
        <v>0</v>
      </c>
      <c r="H16" s="2">
        <v>0</v>
      </c>
      <c r="I16" s="6">
        <f>I15+C16-E16-F16-G16-H16</f>
        <v>16719.28</v>
      </c>
      <c r="J16" s="15">
        <f>J15-F16</f>
        <v>12000</v>
      </c>
      <c r="K16" s="15">
        <f>K15-H16</f>
        <v>0</v>
      </c>
      <c r="L16" s="6">
        <f>L15-G16+D16</f>
        <v>26148.04</v>
      </c>
      <c r="M16" s="2"/>
      <c r="N16" s="2"/>
      <c r="O16" s="2"/>
      <c r="P16" s="2"/>
      <c r="Q16" s="2"/>
      <c r="R16" s="2"/>
      <c r="S16" s="6">
        <f>I16</f>
        <v>16719.28</v>
      </c>
      <c r="T16" s="2"/>
      <c r="U16" s="2"/>
    </row>
    <row r="17" spans="1:21" x14ac:dyDescent="0.25">
      <c r="A17" s="7"/>
      <c r="B17" s="5">
        <v>46198</v>
      </c>
      <c r="C17" s="3">
        <v>0</v>
      </c>
      <c r="D17" s="4">
        <v>200</v>
      </c>
      <c r="E17" s="2">
        <v>0</v>
      </c>
      <c r="F17" s="2">
        <v>0</v>
      </c>
      <c r="G17" s="2">
        <v>0</v>
      </c>
      <c r="H17" s="2">
        <v>0</v>
      </c>
      <c r="I17" s="6">
        <f>I16+C17-E17-F17-G17-H17</f>
        <v>16719.28</v>
      </c>
      <c r="J17" s="15">
        <f>J16-F17</f>
        <v>12000</v>
      </c>
      <c r="K17" s="15">
        <f>K16-H17</f>
        <v>0</v>
      </c>
      <c r="L17" s="6">
        <f>L16-G17+D17</f>
        <v>26348.04</v>
      </c>
      <c r="M17" s="2"/>
      <c r="N17" s="18">
        <f>N13</f>
        <v>0</v>
      </c>
      <c r="O17" s="4">
        <f>SUM(D14:D18)</f>
        <v>800</v>
      </c>
      <c r="P17" s="2"/>
      <c r="Q17" s="19">
        <f>Q13</f>
        <v>12000</v>
      </c>
      <c r="R17" s="24">
        <f>R13+O12</f>
        <v>25550.04</v>
      </c>
      <c r="S17" s="6">
        <f>I17</f>
        <v>16719.28</v>
      </c>
      <c r="T17" s="2"/>
      <c r="U17" s="2"/>
    </row>
    <row r="18" spans="1:21" x14ac:dyDescent="0.25">
      <c r="A18" s="7"/>
      <c r="B18" s="5">
        <v>46203</v>
      </c>
      <c r="C18" s="3">
        <v>0</v>
      </c>
      <c r="D18" s="4">
        <v>0</v>
      </c>
      <c r="E18" s="4">
        <v>1938</v>
      </c>
      <c r="F18" s="2">
        <v>0</v>
      </c>
      <c r="G18" s="2">
        <v>0</v>
      </c>
      <c r="H18" s="2">
        <v>0</v>
      </c>
      <c r="I18" s="6">
        <f>I17+C18-E18-F18-G18-H18</f>
        <v>14781.279999999999</v>
      </c>
      <c r="J18" s="15">
        <f>J17-F18</f>
        <v>12000</v>
      </c>
      <c r="K18" s="15">
        <f>K17-H18</f>
        <v>0</v>
      </c>
      <c r="L18" s="6">
        <f>L17-G18+D18</f>
        <v>26348.04</v>
      </c>
      <c r="M18" s="2"/>
      <c r="N18" s="18">
        <f>N17-H13</f>
        <v>0</v>
      </c>
      <c r="O18" s="2"/>
      <c r="P18" s="2"/>
      <c r="Q18" s="24">
        <f>Q17-F15</f>
        <v>12000</v>
      </c>
      <c r="R18" s="24">
        <f>R17-G15</f>
        <v>25550.04</v>
      </c>
      <c r="S18" s="6">
        <f>I18</f>
        <v>14781.279999999999</v>
      </c>
      <c r="T18" s="10">
        <f>N17+Q17+R17</f>
        <v>37550.04</v>
      </c>
      <c r="U18" s="14">
        <f>S17-T18</f>
        <v>-20830.760000000002</v>
      </c>
    </row>
    <row r="19" spans="1:21" x14ac:dyDescent="0.25">
      <c r="A19" s="7"/>
      <c r="B19" s="5">
        <v>46205</v>
      </c>
      <c r="C19" s="3">
        <v>3850</v>
      </c>
      <c r="D19" s="4">
        <v>200</v>
      </c>
      <c r="E19" s="2">
        <v>0</v>
      </c>
      <c r="F19" s="12">
        <v>0</v>
      </c>
      <c r="G19" s="12">
        <v>0</v>
      </c>
      <c r="H19" s="9">
        <v>0</v>
      </c>
      <c r="I19" s="6">
        <f>I18+C19-E19-F19-G19-H19</f>
        <v>18631.28</v>
      </c>
      <c r="J19" s="15">
        <f>J18-F19</f>
        <v>12000</v>
      </c>
      <c r="K19" s="15">
        <f>K18-H19</f>
        <v>0</v>
      </c>
      <c r="L19" s="6">
        <f>L18-G19+D19</f>
        <v>26548.04</v>
      </c>
      <c r="M19" s="2"/>
      <c r="N19" s="2"/>
      <c r="O19" s="2"/>
      <c r="P19" s="2"/>
      <c r="Q19" s="2"/>
      <c r="R19" s="2"/>
      <c r="S19" s="6">
        <f>I19</f>
        <v>18631.28</v>
      </c>
      <c r="T19" s="10">
        <f>N18+Q18+R18</f>
        <v>37550.04</v>
      </c>
      <c r="U19" s="14">
        <f>S19-T19</f>
        <v>-18918.760000000002</v>
      </c>
    </row>
    <row r="20" spans="1:21" x14ac:dyDescent="0.25">
      <c r="A20" s="7"/>
      <c r="B20" s="5">
        <v>46212</v>
      </c>
      <c r="C20" s="3">
        <v>0</v>
      </c>
      <c r="D20" s="4">
        <v>200</v>
      </c>
      <c r="E20" s="2">
        <v>0</v>
      </c>
      <c r="F20" s="2">
        <v>0</v>
      </c>
      <c r="G20" s="2">
        <v>0</v>
      </c>
      <c r="H20" s="2">
        <v>0</v>
      </c>
      <c r="I20" s="6">
        <f>I19+C20-E20-F20-G20-H20</f>
        <v>18631.28</v>
      </c>
      <c r="J20" s="15">
        <f>J19-F20</f>
        <v>12000</v>
      </c>
      <c r="K20" s="15">
        <f>K19-H20</f>
        <v>0</v>
      </c>
      <c r="L20" s="6">
        <f>L19-G20+D20</f>
        <v>26748.04</v>
      </c>
      <c r="M20" s="5"/>
      <c r="N20" s="2"/>
      <c r="O20" s="2"/>
      <c r="P20" s="2"/>
      <c r="Q20" s="2"/>
      <c r="R20" s="2"/>
      <c r="S20" s="6">
        <f>I20</f>
        <v>18631.28</v>
      </c>
      <c r="T20" s="2"/>
      <c r="U20" s="2"/>
    </row>
    <row r="21" spans="1:21" x14ac:dyDescent="0.25">
      <c r="A21" s="7"/>
      <c r="B21" s="5">
        <v>46219</v>
      </c>
      <c r="C21" s="3">
        <v>3850</v>
      </c>
      <c r="D21" s="4">
        <v>200</v>
      </c>
      <c r="E21" s="2">
        <v>0</v>
      </c>
      <c r="F21" s="2">
        <v>0</v>
      </c>
      <c r="G21" s="2">
        <v>0</v>
      </c>
      <c r="H21" s="2">
        <v>0</v>
      </c>
      <c r="I21" s="6">
        <f>I20+C21-E21-F21-G21-H21</f>
        <v>22481.279999999999</v>
      </c>
      <c r="J21" s="15">
        <f>J20-F21</f>
        <v>12000</v>
      </c>
      <c r="K21" s="15">
        <f>K20-H21</f>
        <v>0</v>
      </c>
      <c r="L21" s="6">
        <f>L20-G21+D21</f>
        <v>26948.04</v>
      </c>
      <c r="M21" s="5"/>
      <c r="N21" s="2"/>
      <c r="O21" s="2"/>
      <c r="P21" s="2"/>
      <c r="Q21" s="2"/>
      <c r="R21" s="2"/>
      <c r="S21" s="6">
        <f>I21</f>
        <v>22481.279999999999</v>
      </c>
      <c r="T21" s="2"/>
      <c r="U21" s="2"/>
    </row>
    <row r="22" spans="1:21" x14ac:dyDescent="0.25">
      <c r="A22" s="7"/>
      <c r="B22" s="5">
        <v>46226</v>
      </c>
      <c r="C22" s="3">
        <v>0</v>
      </c>
      <c r="D22" s="4">
        <v>200</v>
      </c>
      <c r="E22" s="2">
        <v>0</v>
      </c>
      <c r="F22" s="2">
        <v>0</v>
      </c>
      <c r="G22" s="2">
        <v>0</v>
      </c>
      <c r="H22" s="2">
        <v>0</v>
      </c>
      <c r="I22" s="6">
        <f>I21+C22-E22-F22-G22-H22</f>
        <v>22481.279999999999</v>
      </c>
      <c r="J22" s="15">
        <f>J21-F22</f>
        <v>12000</v>
      </c>
      <c r="K22" s="15">
        <f>K21-H22</f>
        <v>0</v>
      </c>
      <c r="L22" s="6">
        <f>L21-G22+D22</f>
        <v>27148.04</v>
      </c>
      <c r="M22" s="5"/>
      <c r="N22" s="18">
        <f>N18</f>
        <v>0</v>
      </c>
      <c r="O22" s="4">
        <f>SUM(D19:D23)</f>
        <v>1000</v>
      </c>
      <c r="P22" s="2"/>
      <c r="Q22" s="21">
        <f>Q18</f>
        <v>12000</v>
      </c>
      <c r="R22" s="27">
        <f>R18+O17</f>
        <v>26350.04</v>
      </c>
      <c r="S22" s="6">
        <f>I22</f>
        <v>22481.279999999999</v>
      </c>
      <c r="T22" s="2"/>
      <c r="U22" s="2"/>
    </row>
    <row r="23" spans="1:21" x14ac:dyDescent="0.25">
      <c r="A23" s="7"/>
      <c r="B23" s="5">
        <v>46233</v>
      </c>
      <c r="C23" s="3">
        <v>3850</v>
      </c>
      <c r="D23" s="4">
        <v>200</v>
      </c>
      <c r="E23" s="4">
        <v>1938</v>
      </c>
      <c r="F23" s="2">
        <v>0</v>
      </c>
      <c r="G23" s="2">
        <v>0</v>
      </c>
      <c r="H23" s="2">
        <v>0</v>
      </c>
      <c r="I23" s="6">
        <f>I22+C23-E23-F23-G23-H23</f>
        <v>24393.279999999999</v>
      </c>
      <c r="J23" s="15">
        <f>J22-F23</f>
        <v>12000</v>
      </c>
      <c r="K23" s="15">
        <f>K22-H23</f>
        <v>0</v>
      </c>
      <c r="L23" s="6">
        <f>L22-G23+D23</f>
        <v>27348.04</v>
      </c>
      <c r="M23" s="5"/>
      <c r="N23" s="18">
        <f>N22-H23</f>
        <v>0</v>
      </c>
      <c r="O23" s="2"/>
      <c r="P23" s="2"/>
      <c r="Q23" s="27">
        <f>Q22-F20</f>
        <v>12000</v>
      </c>
      <c r="R23" s="27">
        <f>R22-G20</f>
        <v>26350.04</v>
      </c>
      <c r="S23" s="6">
        <f>I23</f>
        <v>24393.279999999999</v>
      </c>
      <c r="T23" s="2"/>
      <c r="U23" s="2"/>
    </row>
    <row r="24" spans="1:21" x14ac:dyDescent="0.25">
      <c r="A24" s="7"/>
      <c r="B24" s="5">
        <v>46240</v>
      </c>
      <c r="C24" s="3">
        <v>0</v>
      </c>
      <c r="D24" s="4">
        <v>200</v>
      </c>
      <c r="E24" s="2">
        <v>0</v>
      </c>
      <c r="F24" s="12">
        <v>0</v>
      </c>
      <c r="G24" s="12">
        <v>0</v>
      </c>
      <c r="H24" s="9">
        <v>0</v>
      </c>
      <c r="I24" s="6">
        <f>I23+C24-E24-F24-G24-H24</f>
        <v>24393.279999999999</v>
      </c>
      <c r="J24" s="15">
        <f>J23-F24</f>
        <v>12000</v>
      </c>
      <c r="K24" s="15">
        <f>K23-H24</f>
        <v>0</v>
      </c>
      <c r="L24" s="6">
        <f>L23-G24+D24</f>
        <v>27548.04</v>
      </c>
      <c r="M24" s="5"/>
      <c r="N24" s="5"/>
      <c r="O24" s="5"/>
      <c r="P24" s="5"/>
      <c r="Q24" s="5"/>
      <c r="R24" s="5"/>
      <c r="S24" s="6">
        <f>I24</f>
        <v>24393.279999999999</v>
      </c>
      <c r="T24" s="10">
        <f>N23+Q23+R23</f>
        <v>38350.04</v>
      </c>
      <c r="U24" s="14">
        <f>S23-T24</f>
        <v>-13956.760000000002</v>
      </c>
    </row>
    <row r="25" spans="1:21" x14ac:dyDescent="0.25">
      <c r="A25" s="7"/>
      <c r="B25" s="5">
        <v>46247</v>
      </c>
      <c r="C25" s="3">
        <v>3850</v>
      </c>
      <c r="D25" s="4">
        <v>200</v>
      </c>
      <c r="E25" s="2">
        <v>0</v>
      </c>
      <c r="F25" s="2">
        <v>0</v>
      </c>
      <c r="G25" s="2">
        <v>0</v>
      </c>
      <c r="H25" s="2">
        <v>0</v>
      </c>
      <c r="I25" s="6">
        <f>I24+C25-E25-F25-G25-H25</f>
        <v>28243.279999999999</v>
      </c>
      <c r="J25" s="15">
        <f>J24-F25</f>
        <v>12000</v>
      </c>
      <c r="K25" s="15">
        <f>K24-H25</f>
        <v>0</v>
      </c>
      <c r="L25" s="6">
        <f>L24-G25+D25</f>
        <v>27748.04</v>
      </c>
      <c r="M25" s="5"/>
      <c r="N25" s="5"/>
      <c r="O25" s="5"/>
      <c r="P25" s="5"/>
      <c r="Q25" s="5"/>
      <c r="R25" s="5"/>
      <c r="S25" s="6">
        <f>I25</f>
        <v>28243.279999999999</v>
      </c>
      <c r="T25" s="10">
        <f>N24+Q24+R24</f>
        <v>0</v>
      </c>
      <c r="U25" s="14">
        <f>S25-T25</f>
        <v>28243.279999999999</v>
      </c>
    </row>
    <row r="26" spans="1:21" x14ac:dyDescent="0.25">
      <c r="A26" s="7"/>
      <c r="B26" s="5">
        <v>46254</v>
      </c>
      <c r="C26" s="3">
        <v>0</v>
      </c>
      <c r="D26" s="4">
        <v>200</v>
      </c>
      <c r="E26" s="2">
        <v>0</v>
      </c>
      <c r="F26" s="2">
        <v>0</v>
      </c>
      <c r="G26" s="2">
        <v>0</v>
      </c>
      <c r="H26" s="2">
        <v>0</v>
      </c>
      <c r="I26" s="6">
        <f>I25+C26-E26-F26-G26-H26</f>
        <v>28243.279999999999</v>
      </c>
      <c r="J26" s="15">
        <f>J25-F26</f>
        <v>12000</v>
      </c>
      <c r="K26" s="15">
        <f>K25-H26</f>
        <v>0</v>
      </c>
      <c r="L26" s="6">
        <f>L25-G26+D26</f>
        <v>27948.04</v>
      </c>
      <c r="M26" s="5"/>
      <c r="N26" s="5"/>
      <c r="O26" s="5"/>
      <c r="P26" s="5"/>
      <c r="Q26" s="5"/>
      <c r="R26" s="5"/>
      <c r="S26" s="6">
        <f>I26</f>
        <v>28243.279999999999</v>
      </c>
      <c r="T26" s="2"/>
      <c r="U26" s="2"/>
    </row>
    <row r="27" spans="1:21" x14ac:dyDescent="0.25">
      <c r="A27" s="7"/>
      <c r="B27" s="5">
        <v>46261</v>
      </c>
      <c r="C27" s="3">
        <v>3850</v>
      </c>
      <c r="D27" s="4">
        <v>200</v>
      </c>
      <c r="E27" s="2">
        <v>0</v>
      </c>
      <c r="F27" s="2">
        <v>0</v>
      </c>
      <c r="G27" s="2">
        <v>0</v>
      </c>
      <c r="H27" s="2">
        <v>0</v>
      </c>
      <c r="I27" s="6">
        <f>I26+C27-E27-F27-G27-H27</f>
        <v>32093.279999999999</v>
      </c>
      <c r="J27" s="15">
        <f>J26-F27</f>
        <v>12000</v>
      </c>
      <c r="K27" s="15">
        <f>K26-H27</f>
        <v>0</v>
      </c>
      <c r="L27" s="6">
        <f>L26-G27+D27</f>
        <v>28148.04</v>
      </c>
      <c r="M27" s="5"/>
      <c r="N27" s="5"/>
      <c r="O27" s="5"/>
      <c r="P27" s="5"/>
      <c r="Q27" s="5"/>
      <c r="R27" s="5"/>
      <c r="S27" s="6">
        <f>I27</f>
        <v>32093.279999999999</v>
      </c>
      <c r="T27" s="2"/>
      <c r="U27" s="2"/>
    </row>
    <row r="28" spans="1:21" x14ac:dyDescent="0.25">
      <c r="A28" s="7"/>
      <c r="B28" s="5">
        <v>46268</v>
      </c>
      <c r="C28" s="3">
        <v>0</v>
      </c>
      <c r="D28" s="4">
        <v>200</v>
      </c>
      <c r="E28" s="2">
        <v>0</v>
      </c>
      <c r="F28" s="12">
        <v>0</v>
      </c>
      <c r="G28" s="12">
        <v>0</v>
      </c>
      <c r="H28" s="9">
        <v>0</v>
      </c>
      <c r="I28" s="6">
        <f>I27+C28-E28-F28-G28-H28</f>
        <v>32093.279999999999</v>
      </c>
      <c r="J28" s="15">
        <f>J27-F28</f>
        <v>12000</v>
      </c>
      <c r="K28" s="15">
        <f>K27-H28</f>
        <v>0</v>
      </c>
      <c r="L28" s="6">
        <f>L27-G28+D28</f>
        <v>28348.04</v>
      </c>
      <c r="M28" s="5"/>
      <c r="N28" s="18">
        <f>N23</f>
        <v>0</v>
      </c>
      <c r="O28" s="4">
        <f>SUM(D24:D27)</f>
        <v>800</v>
      </c>
      <c r="P28" s="2"/>
      <c r="Q28" s="27">
        <f>Q23</f>
        <v>12000</v>
      </c>
      <c r="R28" s="27">
        <f>R23+O22</f>
        <v>27350.04</v>
      </c>
      <c r="S28" s="6">
        <f>I28</f>
        <v>32093.279999999999</v>
      </c>
      <c r="T28" s="10">
        <f>N28+Q28+R28</f>
        <v>39350.04</v>
      </c>
      <c r="U28" s="14">
        <f>S28-T28</f>
        <v>-7256.760000000002</v>
      </c>
    </row>
    <row r="29" spans="1:21" x14ac:dyDescent="0.25">
      <c r="A29" s="7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18">
        <f>N28-H28</f>
        <v>0</v>
      </c>
      <c r="O29" s="2"/>
      <c r="P29" s="2"/>
      <c r="Q29" s="27">
        <f>Q28-F28</f>
        <v>12000</v>
      </c>
      <c r="R29" s="27">
        <f>R28-G25</f>
        <v>27350.04</v>
      </c>
      <c r="S29" s="6">
        <f>I29</f>
        <v>0</v>
      </c>
      <c r="T29" s="10">
        <f>N29+Q29+R29</f>
        <v>39350.04</v>
      </c>
      <c r="U29" s="14">
        <f>S30-T29</f>
        <v>-39350.04</v>
      </c>
    </row>
    <row r="30" spans="1:21" x14ac:dyDescent="0.25">
      <c r="A30" s="7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5"/>
      <c r="O30" s="5"/>
      <c r="P30" s="5"/>
      <c r="Q30" s="5"/>
      <c r="R30" s="5"/>
      <c r="S30" s="6"/>
      <c r="T30" s="2"/>
      <c r="U30" s="2"/>
    </row>
    <row r="31" spans="1:21" x14ac:dyDescent="0.25">
      <c r="A31" s="7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x14ac:dyDescent="0.25">
      <c r="A32" s="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6"/>
      <c r="T32" s="2"/>
      <c r="U32" s="2"/>
    </row>
    <row r="33" spans="1:21" x14ac:dyDescent="0.25">
      <c r="A33" s="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x14ac:dyDescent="0.25">
      <c r="A34" s="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x14ac:dyDescent="0.25">
      <c r="A35" s="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x14ac:dyDescent="0.25">
      <c r="A36" s="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x14ac:dyDescent="0.25">
      <c r="N37" s="30"/>
      <c r="O37" s="23"/>
      <c r="P37" s="29"/>
      <c r="Q37" s="23"/>
      <c r="R37" s="25"/>
      <c r="S37" s="22"/>
    </row>
    <row r="38" spans="1:21" x14ac:dyDescent="0.25">
      <c r="Q38" s="23"/>
    </row>
    <row r="39" spans="1:21" x14ac:dyDescent="0.25">
      <c r="Q39" s="26"/>
    </row>
  </sheetData>
  <mergeCells count="1">
    <mergeCell ref="N2:O2"/>
  </mergeCells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Edwards</dc:creator>
  <cp:lastModifiedBy>Sam Edwards</cp:lastModifiedBy>
  <dcterms:created xsi:type="dcterms:W3CDTF">2025-07-12T22:22:01Z</dcterms:created>
  <dcterms:modified xsi:type="dcterms:W3CDTF">2026-04-05T15:45:01Z</dcterms:modified>
</cp:coreProperties>
</file>