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ownloads\"/>
    </mc:Choice>
  </mc:AlternateContent>
  <xr:revisionPtr revIDLastSave="0" documentId="13_ncr:1_{CD3F7B2C-7344-4E6A-94C6-AF723048DB8B}" xr6:coauthVersionLast="47" xr6:coauthVersionMax="47" xr10:uidLastSave="{00000000-0000-0000-0000-000000000000}"/>
  <bookViews>
    <workbookView xWindow="28920" yWindow="-4215" windowWidth="24630" windowHeight="19455" xr2:uid="{AB41CCEA-6DC9-4FE2-81C8-E03C986F16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" i="1" l="1"/>
  <c r="N28" i="1"/>
  <c r="R24" i="1"/>
  <c r="Q24" i="1"/>
  <c r="N24" i="1"/>
  <c r="O28" i="1"/>
  <c r="I28" i="1"/>
  <c r="J28" i="1"/>
  <c r="K28" i="1"/>
  <c r="L28" i="1"/>
  <c r="R25" i="1"/>
  <c r="R28" i="1" s="1"/>
  <c r="R29" i="1" s="1"/>
  <c r="Q25" i="1"/>
  <c r="N25" i="1"/>
  <c r="R19" i="1"/>
  <c r="N14" i="1"/>
  <c r="R14" i="1"/>
  <c r="Q14" i="1"/>
  <c r="N13" i="1"/>
  <c r="R8" i="1"/>
  <c r="Q8" i="1"/>
  <c r="N8" i="1"/>
  <c r="O5" i="1"/>
  <c r="Q5" i="1"/>
  <c r="J3" i="1" s="1"/>
  <c r="J4" i="1" s="1"/>
  <c r="O7" i="1"/>
  <c r="O13" i="1"/>
  <c r="O18" i="1"/>
  <c r="F18" i="1"/>
  <c r="O24" i="1"/>
  <c r="R5" i="1"/>
  <c r="L3" i="1" s="1"/>
  <c r="Q29" i="1" l="1"/>
  <c r="N29" i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R13" i="1"/>
  <c r="R18" i="1" s="1"/>
  <c r="Q13" i="1"/>
  <c r="Q18" i="1" s="1"/>
  <c r="Q19" i="1" s="1"/>
  <c r="N18" i="1"/>
  <c r="N19" i="1" s="1"/>
  <c r="K3" i="1"/>
  <c r="K4" i="1" s="1"/>
  <c r="K5" i="1" s="1"/>
  <c r="K6" i="1" s="1"/>
  <c r="J5" i="1"/>
  <c r="J6" i="1" s="1"/>
  <c r="J7" i="1" s="1"/>
  <c r="J8" i="1" s="1"/>
  <c r="J9" i="1" s="1"/>
  <c r="J10" i="1" s="1"/>
  <c r="J11" i="1" s="1"/>
  <c r="J12" i="1" s="1"/>
  <c r="J13" i="1" s="1"/>
  <c r="J14" i="1" s="1"/>
  <c r="I4" i="1"/>
  <c r="T7" i="1"/>
  <c r="T3" i="1"/>
  <c r="U3" i="1" s="1"/>
  <c r="I5" i="1" l="1"/>
  <c r="I6" i="1" s="1"/>
  <c r="I7" i="1" s="1"/>
  <c r="I8" i="1" s="1"/>
  <c r="I9" i="1" s="1"/>
  <c r="I10" i="1" s="1"/>
  <c r="I11" i="1" s="1"/>
  <c r="I12" i="1" s="1"/>
  <c r="I13" i="1" s="1"/>
  <c r="I14" i="1" s="1"/>
  <c r="S4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L19" i="1"/>
  <c r="L20" i="1" s="1"/>
  <c r="L21" i="1" s="1"/>
  <c r="L22" i="1" s="1"/>
  <c r="L23" i="1" s="1"/>
  <c r="T8" i="1"/>
  <c r="T13" i="1"/>
  <c r="S5" i="1"/>
  <c r="S6" i="1"/>
  <c r="S7" i="1" l="1"/>
  <c r="U7" i="1" s="1"/>
  <c r="L24" i="1" l="1"/>
  <c r="L25" i="1" s="1"/>
  <c r="L26" i="1" s="1"/>
  <c r="L27" i="1" s="1"/>
  <c r="S8" i="1"/>
  <c r="U8" i="1" s="1"/>
  <c r="S9" i="1" l="1"/>
  <c r="S10" i="1" l="1"/>
  <c r="S11" i="1" l="1"/>
  <c r="S12" i="1" l="1"/>
  <c r="S13" i="1"/>
  <c r="U13" i="1" s="1"/>
  <c r="J15" i="1" l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I15" i="1"/>
  <c r="I16" i="1" s="1"/>
  <c r="I17" i="1" s="1"/>
  <c r="I18" i="1" s="1"/>
  <c r="I19" i="1" s="1"/>
  <c r="I20" i="1" s="1"/>
  <c r="I21" i="1" s="1"/>
  <c r="T18" i="1"/>
  <c r="T14" i="1"/>
  <c r="I22" i="1" l="1"/>
  <c r="S21" i="1"/>
  <c r="T19" i="1"/>
  <c r="S14" i="1"/>
  <c r="U14" i="1" s="1"/>
  <c r="I23" i="1" l="1"/>
  <c r="S22" i="1"/>
  <c r="S15" i="1"/>
  <c r="I24" i="1" l="1"/>
  <c r="S23" i="1"/>
  <c r="S16" i="1"/>
  <c r="I25" i="1" l="1"/>
  <c r="I26" i="1" s="1"/>
  <c r="I27" i="1" s="1"/>
  <c r="S24" i="1"/>
  <c r="S17" i="1"/>
  <c r="U18" i="1" s="1"/>
  <c r="S18" i="1" l="1"/>
  <c r="S19" i="1" l="1"/>
  <c r="U19" i="1" s="1"/>
  <c r="S20" i="1" l="1"/>
</calcChain>
</file>

<file path=xl/sharedStrings.xml><?xml version="1.0" encoding="utf-8"?>
<sst xmlns="http://schemas.openxmlformats.org/spreadsheetml/2006/main" count="32" uniqueCount="19">
  <si>
    <t>Paycheck</t>
  </si>
  <si>
    <t>Date</t>
  </si>
  <si>
    <t>Bofa</t>
  </si>
  <si>
    <t>Spending</t>
  </si>
  <si>
    <t>Checking</t>
  </si>
  <si>
    <t>Chase</t>
  </si>
  <si>
    <t>Notes</t>
  </si>
  <si>
    <t>Rent</t>
  </si>
  <si>
    <t>BofA Payment</t>
  </si>
  <si>
    <t>Chase Payment</t>
  </si>
  <si>
    <t>Chase Statement</t>
  </si>
  <si>
    <t>Total</t>
  </si>
  <si>
    <t>BofA 2 Payment</t>
  </si>
  <si>
    <t>BofA Balance</t>
  </si>
  <si>
    <t>TOTAL</t>
  </si>
  <si>
    <t>BofA Balance (2)</t>
  </si>
  <si>
    <t>CASH</t>
  </si>
  <si>
    <t>Bofa2</t>
  </si>
  <si>
    <t xml:space="preserve">Payday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</si>
</sst>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3F3F7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B0FF97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1">
    <xf numFmtId="0" fontId="0" fillId="0" borderId="0" xfId="0"/>
    <xf numFmtId="0" fontId="5" fillId="0" borderId="0" xfId="0" applyFont="1"/>
    <xf numFmtId="0" fontId="7" fillId="5" borderId="3" xfId="4" applyFont="1" applyBorder="1"/>
    <xf numFmtId="0" fontId="7" fillId="2" borderId="3" xfId="1" applyFont="1" applyBorder="1"/>
    <xf numFmtId="0" fontId="7" fillId="3" borderId="3" xfId="2" applyFont="1" applyBorder="1"/>
    <xf numFmtId="16" fontId="7" fillId="5" borderId="3" xfId="4" applyNumberFormat="1" applyFont="1" applyBorder="1"/>
    <xf numFmtId="4" fontId="7" fillId="5" borderId="3" xfId="4" applyNumberFormat="1" applyFont="1" applyBorder="1"/>
    <xf numFmtId="0" fontId="7" fillId="4" borderId="3" xfId="3" applyFont="1" applyBorder="1"/>
    <xf numFmtId="0" fontId="7" fillId="5" borderId="3" xfId="4" applyFont="1" applyBorder="1" applyAlignment="1">
      <alignment horizontal="center"/>
    </xf>
    <xf numFmtId="8" fontId="7" fillId="4" borderId="3" xfId="3" applyNumberFormat="1" applyFont="1" applyBorder="1"/>
    <xf numFmtId="4" fontId="7" fillId="3" borderId="3" xfId="2" applyNumberFormat="1" applyFont="1" applyBorder="1"/>
    <xf numFmtId="4" fontId="7" fillId="4" borderId="3" xfId="3" applyNumberFormat="1" applyFont="1" applyBorder="1"/>
    <xf numFmtId="4" fontId="7" fillId="6" borderId="3" xfId="2" applyNumberFormat="1" applyFont="1" applyFill="1" applyBorder="1"/>
    <xf numFmtId="164" fontId="7" fillId="3" borderId="3" xfId="2" applyNumberFormat="1" applyFont="1" applyBorder="1"/>
    <xf numFmtId="164" fontId="7" fillId="7" borderId="3" xfId="2" applyNumberFormat="1" applyFont="1" applyFill="1" applyBorder="1"/>
    <xf numFmtId="4" fontId="7" fillId="7" borderId="3" xfId="4" applyNumberFormat="1" applyFont="1" applyFill="1" applyBorder="1"/>
    <xf numFmtId="4" fontId="7" fillId="7" borderId="3" xfId="3" applyNumberFormat="1" applyFont="1" applyFill="1" applyBorder="1"/>
    <xf numFmtId="0" fontId="8" fillId="4" borderId="3" xfId="3" applyFont="1" applyBorder="1"/>
    <xf numFmtId="0" fontId="7" fillId="7" borderId="3" xfId="4" applyFont="1" applyFill="1" applyBorder="1"/>
    <xf numFmtId="8" fontId="7" fillId="7" borderId="3" xfId="3" applyNumberFormat="1" applyFont="1" applyFill="1" applyBorder="1"/>
    <xf numFmtId="0" fontId="7" fillId="5" borderId="3" xfId="4" applyFont="1" applyBorder="1" applyAlignment="1">
      <alignment horizontal="center"/>
    </xf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colors>
    <mruColors>
      <color rgb="FFB0FF97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83031-DB9A-4476-88C9-66DCDD796C5D}">
  <dimension ref="A1:U30"/>
  <sheetViews>
    <sheetView tabSelected="1" zoomScale="85" zoomScaleNormal="85" workbookViewId="0">
      <selection activeCell="H37" sqref="H37"/>
    </sheetView>
  </sheetViews>
  <sheetFormatPr defaultRowHeight="15" x14ac:dyDescent="0.25"/>
  <cols>
    <col min="2" max="2" width="8.5703125" bestFit="1" customWidth="1"/>
    <col min="3" max="4" width="9.42578125" bestFit="1" customWidth="1"/>
    <col min="5" max="5" width="9.42578125" customWidth="1"/>
    <col min="6" max="6" width="15.140625" bestFit="1" customWidth="1"/>
    <col min="7" max="7" width="15.140625" customWidth="1"/>
    <col min="8" max="8" width="15.140625" bestFit="1" customWidth="1"/>
    <col min="9" max="9" width="9.5703125" customWidth="1"/>
    <col min="10" max="10" width="8.85546875" bestFit="1" customWidth="1"/>
    <col min="11" max="11" width="10.140625" bestFit="1" customWidth="1"/>
    <col min="12" max="12" width="9.28515625" bestFit="1" customWidth="1"/>
    <col min="13" max="13" width="36.140625" customWidth="1"/>
    <col min="14" max="15" width="10.5703125" style="1" bestFit="1" customWidth="1"/>
    <col min="16" max="16" width="9.140625" style="1"/>
    <col min="17" max="17" width="12.5703125" bestFit="1" customWidth="1"/>
    <col min="18" max="19" width="15.5703125" bestFit="1" customWidth="1"/>
    <col min="21" max="21" width="10.85546875" bestFit="1" customWidth="1"/>
  </cols>
  <sheetData>
    <row r="1" spans="1:2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17"/>
      <c r="U1" s="7"/>
    </row>
    <row r="2" spans="1:21" x14ac:dyDescent="0.25">
      <c r="A2" s="7"/>
      <c r="B2" s="2" t="s">
        <v>1</v>
      </c>
      <c r="C2" s="3" t="s">
        <v>0</v>
      </c>
      <c r="D2" s="4" t="s">
        <v>3</v>
      </c>
      <c r="E2" s="4" t="s">
        <v>7</v>
      </c>
      <c r="F2" s="4" t="s">
        <v>8</v>
      </c>
      <c r="G2" s="4" t="s">
        <v>12</v>
      </c>
      <c r="H2" s="4" t="s">
        <v>9</v>
      </c>
      <c r="I2" s="2" t="s">
        <v>4</v>
      </c>
      <c r="J2" s="2" t="s">
        <v>2</v>
      </c>
      <c r="K2" s="2" t="s">
        <v>5</v>
      </c>
      <c r="L2" s="2" t="s">
        <v>17</v>
      </c>
      <c r="M2" s="2" t="s">
        <v>6</v>
      </c>
      <c r="N2" s="20" t="s">
        <v>10</v>
      </c>
      <c r="O2" s="20"/>
      <c r="P2" s="8"/>
      <c r="Q2" s="2" t="s">
        <v>13</v>
      </c>
      <c r="R2" s="2" t="s">
        <v>15</v>
      </c>
      <c r="S2" s="2" t="s">
        <v>4</v>
      </c>
      <c r="T2" s="4" t="s">
        <v>14</v>
      </c>
      <c r="U2" s="18" t="s">
        <v>16</v>
      </c>
    </row>
    <row r="3" spans="1:21" x14ac:dyDescent="0.25">
      <c r="A3" s="7"/>
      <c r="B3" s="5">
        <v>45977</v>
      </c>
      <c r="C3" s="3">
        <v>0</v>
      </c>
      <c r="D3" s="4">
        <v>200</v>
      </c>
      <c r="E3" s="2">
        <v>0</v>
      </c>
      <c r="F3" s="2">
        <v>0</v>
      </c>
      <c r="G3" s="2">
        <v>0</v>
      </c>
      <c r="H3" s="2">
        <v>0</v>
      </c>
      <c r="I3" s="6">
        <v>567.45000000000005</v>
      </c>
      <c r="J3" s="6">
        <f>Q5-F3</f>
        <v>3727.93</v>
      </c>
      <c r="K3" s="6">
        <f>O5-H3</f>
        <v>1737.9899999999998</v>
      </c>
      <c r="L3" s="6">
        <f>R5-G3+D3</f>
        <v>15357.76</v>
      </c>
      <c r="M3" s="2"/>
      <c r="N3" s="8" t="s">
        <v>11</v>
      </c>
      <c r="O3" s="2">
        <v>1164.8599999999999</v>
      </c>
      <c r="P3" s="8" t="s">
        <v>11</v>
      </c>
      <c r="Q3" s="6">
        <v>3727.93</v>
      </c>
      <c r="R3" s="2">
        <v>15157.76</v>
      </c>
      <c r="S3" s="15">
        <v>977.45</v>
      </c>
      <c r="T3" s="10">
        <f>O5+Q5+R5</f>
        <v>20623.68</v>
      </c>
      <c r="U3" s="13">
        <f>S3-T3</f>
        <v>-19646.23</v>
      </c>
    </row>
    <row r="4" spans="1:21" x14ac:dyDescent="0.25">
      <c r="A4" s="7"/>
      <c r="B4" s="5">
        <v>45981</v>
      </c>
      <c r="C4" s="3">
        <v>3500</v>
      </c>
      <c r="D4" s="4">
        <v>200</v>
      </c>
      <c r="E4" s="2">
        <v>0</v>
      </c>
      <c r="F4" s="2">
        <v>0</v>
      </c>
      <c r="G4" s="2">
        <v>0</v>
      </c>
      <c r="H4" s="2">
        <v>0</v>
      </c>
      <c r="I4" s="6">
        <f t="shared" ref="I4:I22" si="0">I3+C4-E4-F4-G4-H4</f>
        <v>4067.45</v>
      </c>
      <c r="J4" s="6">
        <f>J3-F4</f>
        <v>3727.93</v>
      </c>
      <c r="K4" s="6">
        <f>K3-H4</f>
        <v>1737.9899999999998</v>
      </c>
      <c r="L4" s="6">
        <f>L3-G4+D4</f>
        <v>15557.76</v>
      </c>
      <c r="M4" s="2"/>
      <c r="N4" s="2"/>
      <c r="O4" s="4">
        <v>573.13</v>
      </c>
      <c r="P4" s="2"/>
      <c r="Q4" s="4">
        <v>0</v>
      </c>
      <c r="R4" s="10">
        <v>0</v>
      </c>
      <c r="S4" s="6">
        <f t="shared" ref="S4:S25" si="1">I4</f>
        <v>4067.45</v>
      </c>
      <c r="T4" s="2"/>
      <c r="U4" s="2"/>
    </row>
    <row r="5" spans="1:21" x14ac:dyDescent="0.25">
      <c r="A5" s="7"/>
      <c r="B5" s="5">
        <v>45984</v>
      </c>
      <c r="C5" s="3">
        <v>0</v>
      </c>
      <c r="D5" s="4">
        <v>0</v>
      </c>
      <c r="E5" s="4">
        <v>1760</v>
      </c>
      <c r="F5" s="2">
        <v>0</v>
      </c>
      <c r="G5" s="2">
        <v>0</v>
      </c>
      <c r="H5" s="2">
        <v>0</v>
      </c>
      <c r="I5" s="6">
        <f t="shared" si="0"/>
        <v>2307.4499999999998</v>
      </c>
      <c r="J5" s="6">
        <f t="shared" ref="J5:J22" si="2">J4-F5</f>
        <v>3727.93</v>
      </c>
      <c r="K5" s="6">
        <f t="shared" ref="K5:K22" si="3">K4-H5</f>
        <v>1737.9899999999998</v>
      </c>
      <c r="L5" s="6">
        <f t="shared" ref="L5:L22" si="4">L4-G5+D5</f>
        <v>15557.76</v>
      </c>
      <c r="M5" s="2" t="s">
        <v>18</v>
      </c>
      <c r="N5" s="2"/>
      <c r="O5" s="2">
        <f>O3+O4</f>
        <v>1737.9899999999998</v>
      </c>
      <c r="P5" s="2"/>
      <c r="Q5" s="6">
        <f>SUM(Q3:Q4)</f>
        <v>3727.93</v>
      </c>
      <c r="R5" s="2">
        <f t="shared" ref="R5" si="5">SUM(R3:R4)</f>
        <v>15157.76</v>
      </c>
      <c r="S5" s="6">
        <f t="shared" si="1"/>
        <v>2307.4499999999998</v>
      </c>
      <c r="T5" s="2"/>
      <c r="U5" s="2"/>
    </row>
    <row r="6" spans="1:21" x14ac:dyDescent="0.25">
      <c r="A6" s="7"/>
      <c r="B6" s="5">
        <v>45988</v>
      </c>
      <c r="C6" s="3">
        <v>0</v>
      </c>
      <c r="D6" s="4">
        <v>200</v>
      </c>
      <c r="E6" s="2">
        <v>0</v>
      </c>
      <c r="F6" s="2">
        <v>0</v>
      </c>
      <c r="G6" s="2">
        <v>0</v>
      </c>
      <c r="H6" s="2">
        <v>0</v>
      </c>
      <c r="I6" s="6">
        <f t="shared" si="0"/>
        <v>2307.4499999999998</v>
      </c>
      <c r="J6" s="6">
        <f t="shared" si="2"/>
        <v>3727.93</v>
      </c>
      <c r="K6" s="6">
        <f t="shared" si="3"/>
        <v>1737.9899999999998</v>
      </c>
      <c r="L6" s="6">
        <f t="shared" si="4"/>
        <v>15757.76</v>
      </c>
      <c r="M6" s="2" t="s">
        <v>7</v>
      </c>
      <c r="N6" s="2"/>
      <c r="O6" s="2"/>
      <c r="P6" s="2"/>
      <c r="Q6" s="2"/>
      <c r="R6" s="2"/>
      <c r="S6" s="6">
        <f t="shared" si="1"/>
        <v>2307.4499999999998</v>
      </c>
      <c r="T6" s="2"/>
      <c r="U6" s="2"/>
    </row>
    <row r="7" spans="1:21" x14ac:dyDescent="0.25">
      <c r="A7" s="7"/>
      <c r="B7" s="5">
        <v>45995</v>
      </c>
      <c r="C7" s="3">
        <v>3500</v>
      </c>
      <c r="D7" s="4">
        <v>200</v>
      </c>
      <c r="E7" s="2">
        <v>0</v>
      </c>
      <c r="F7" s="12">
        <v>750</v>
      </c>
      <c r="G7" s="12">
        <v>4000</v>
      </c>
      <c r="H7" s="9">
        <v>808.07</v>
      </c>
      <c r="I7" s="6">
        <f t="shared" si="0"/>
        <v>249.37999999999977</v>
      </c>
      <c r="J7" s="6">
        <f t="shared" si="2"/>
        <v>2977.93</v>
      </c>
      <c r="K7" s="6">
        <f t="shared" si="3"/>
        <v>929.91999999999973</v>
      </c>
      <c r="L7" s="6">
        <f t="shared" si="4"/>
        <v>11957.76</v>
      </c>
      <c r="M7" s="2"/>
      <c r="N7" s="7">
        <v>808.07</v>
      </c>
      <c r="O7" s="4">
        <f>SUM(D3:D7)</f>
        <v>800</v>
      </c>
      <c r="P7" s="2"/>
      <c r="Q7" s="11">
        <v>3727.93</v>
      </c>
      <c r="R7" s="11">
        <v>9971.6</v>
      </c>
      <c r="S7" s="6">
        <f t="shared" si="1"/>
        <v>249.37999999999977</v>
      </c>
      <c r="T7" s="10">
        <f>N7+Q7+R7</f>
        <v>14507.6</v>
      </c>
      <c r="U7" s="13">
        <f>S7-T7</f>
        <v>-14258.220000000001</v>
      </c>
    </row>
    <row r="8" spans="1:21" x14ac:dyDescent="0.25">
      <c r="A8" s="7"/>
      <c r="B8" s="5">
        <v>46002</v>
      </c>
      <c r="C8" s="3">
        <v>0</v>
      </c>
      <c r="D8" s="4">
        <v>200</v>
      </c>
      <c r="E8" s="2">
        <v>0</v>
      </c>
      <c r="F8" s="2">
        <v>0</v>
      </c>
      <c r="G8" s="2">
        <v>0</v>
      </c>
      <c r="H8" s="2">
        <v>0</v>
      </c>
      <c r="I8" s="6">
        <f t="shared" si="0"/>
        <v>249.37999999999977</v>
      </c>
      <c r="J8" s="6">
        <f t="shared" si="2"/>
        <v>2977.93</v>
      </c>
      <c r="K8" s="15">
        <f t="shared" si="3"/>
        <v>929.91999999999973</v>
      </c>
      <c r="L8" s="6">
        <f t="shared" si="4"/>
        <v>12157.76</v>
      </c>
      <c r="M8" s="2" t="s">
        <v>18</v>
      </c>
      <c r="N8" s="9">
        <f>N7-H7</f>
        <v>0</v>
      </c>
      <c r="O8" s="2"/>
      <c r="P8" s="2"/>
      <c r="Q8" s="11">
        <f>Q7-F7</f>
        <v>2977.93</v>
      </c>
      <c r="R8" s="11">
        <f>R7-G7</f>
        <v>5971.6</v>
      </c>
      <c r="S8" s="6">
        <f t="shared" si="1"/>
        <v>249.37999999999977</v>
      </c>
      <c r="T8" s="10">
        <f>N8+Q8+R8</f>
        <v>8949.5300000000007</v>
      </c>
      <c r="U8" s="13">
        <f>S8-T8</f>
        <v>-8700.1500000000015</v>
      </c>
    </row>
    <row r="9" spans="1:21" x14ac:dyDescent="0.25">
      <c r="A9" s="7"/>
      <c r="B9" s="5">
        <v>46009</v>
      </c>
      <c r="C9" s="3">
        <v>3500</v>
      </c>
      <c r="D9" s="4">
        <v>200</v>
      </c>
      <c r="E9" s="2">
        <v>0</v>
      </c>
      <c r="F9" s="2">
        <v>0</v>
      </c>
      <c r="G9" s="2">
        <v>0</v>
      </c>
      <c r="H9" s="2">
        <v>0</v>
      </c>
      <c r="I9" s="6">
        <f t="shared" si="0"/>
        <v>3749.3799999999997</v>
      </c>
      <c r="J9" s="6">
        <f t="shared" si="2"/>
        <v>2977.93</v>
      </c>
      <c r="K9" s="15">
        <f t="shared" si="3"/>
        <v>929.91999999999973</v>
      </c>
      <c r="L9" s="6">
        <f t="shared" si="4"/>
        <v>12357.76</v>
      </c>
      <c r="M9" s="2"/>
      <c r="N9" s="2"/>
      <c r="O9" s="2"/>
      <c r="P9" s="2"/>
      <c r="Q9" s="2"/>
      <c r="R9" s="2"/>
      <c r="S9" s="6">
        <f t="shared" si="1"/>
        <v>3749.3799999999997</v>
      </c>
      <c r="T9" s="2"/>
      <c r="U9" s="2"/>
    </row>
    <row r="10" spans="1:21" x14ac:dyDescent="0.25">
      <c r="A10" s="7"/>
      <c r="B10" s="5">
        <v>46014</v>
      </c>
      <c r="C10" s="3">
        <v>0</v>
      </c>
      <c r="D10" s="4">
        <v>0</v>
      </c>
      <c r="E10" s="4">
        <v>1760</v>
      </c>
      <c r="F10" s="2">
        <v>0</v>
      </c>
      <c r="G10" s="2">
        <v>0</v>
      </c>
      <c r="H10" s="2">
        <v>0</v>
      </c>
      <c r="I10" s="6">
        <f t="shared" si="0"/>
        <v>1989.3799999999997</v>
      </c>
      <c r="J10" s="6">
        <f t="shared" si="2"/>
        <v>2977.93</v>
      </c>
      <c r="K10" s="15">
        <f t="shared" si="3"/>
        <v>929.91999999999973</v>
      </c>
      <c r="L10" s="6">
        <f t="shared" si="4"/>
        <v>12357.76</v>
      </c>
      <c r="M10" s="2" t="s">
        <v>18</v>
      </c>
      <c r="N10" s="2"/>
      <c r="O10" s="2"/>
      <c r="P10" s="2"/>
      <c r="Q10" s="2"/>
      <c r="R10" s="2"/>
      <c r="S10" s="6">
        <f t="shared" si="1"/>
        <v>1989.3799999999997</v>
      </c>
      <c r="T10" s="2"/>
      <c r="U10" s="2"/>
    </row>
    <row r="11" spans="1:21" x14ac:dyDescent="0.25">
      <c r="A11" s="7"/>
      <c r="B11" s="5">
        <v>46016</v>
      </c>
      <c r="C11" s="3">
        <v>0</v>
      </c>
      <c r="D11" s="4">
        <v>200</v>
      </c>
      <c r="E11" s="2">
        <v>0</v>
      </c>
      <c r="F11" s="2">
        <v>0</v>
      </c>
      <c r="G11" s="2">
        <v>0</v>
      </c>
      <c r="H11" s="2">
        <v>0</v>
      </c>
      <c r="I11" s="6">
        <f t="shared" si="0"/>
        <v>1989.3799999999997</v>
      </c>
      <c r="J11" s="6">
        <f t="shared" si="2"/>
        <v>2977.93</v>
      </c>
      <c r="K11" s="15">
        <f t="shared" si="3"/>
        <v>929.91999999999973</v>
      </c>
      <c r="L11" s="6">
        <f t="shared" si="4"/>
        <v>12557.76</v>
      </c>
      <c r="M11" s="2"/>
      <c r="N11" s="2"/>
      <c r="O11" s="2"/>
      <c r="P11" s="2"/>
      <c r="Q11" s="2"/>
      <c r="R11" s="2"/>
      <c r="S11" s="6">
        <f t="shared" si="1"/>
        <v>1989.3799999999997</v>
      </c>
      <c r="T11" s="2"/>
      <c r="U11" s="2"/>
    </row>
    <row r="12" spans="1:21" x14ac:dyDescent="0.25">
      <c r="A12" s="7"/>
      <c r="B12" s="5">
        <v>46023</v>
      </c>
      <c r="C12" s="3">
        <v>3500</v>
      </c>
      <c r="D12" s="4">
        <v>200</v>
      </c>
      <c r="E12" s="2">
        <v>0</v>
      </c>
      <c r="F12" s="12">
        <v>2977.93</v>
      </c>
      <c r="G12" s="12">
        <v>1000</v>
      </c>
      <c r="H12" s="9">
        <v>929.91999999999973</v>
      </c>
      <c r="I12" s="6">
        <f t="shared" si="0"/>
        <v>581.52999999999963</v>
      </c>
      <c r="J12" s="6">
        <f t="shared" si="2"/>
        <v>0</v>
      </c>
      <c r="K12" s="15">
        <f t="shared" si="3"/>
        <v>0</v>
      </c>
      <c r="L12" s="6">
        <f t="shared" si="4"/>
        <v>11757.76</v>
      </c>
      <c r="M12" s="2" t="s">
        <v>7</v>
      </c>
      <c r="N12" s="2"/>
      <c r="O12" s="2"/>
      <c r="P12" s="2"/>
      <c r="Q12" s="2"/>
      <c r="R12" s="2"/>
      <c r="S12" s="6">
        <f t="shared" si="1"/>
        <v>581.52999999999963</v>
      </c>
      <c r="T12" s="2"/>
      <c r="U12" s="2"/>
    </row>
    <row r="13" spans="1:21" x14ac:dyDescent="0.25">
      <c r="A13" s="7"/>
      <c r="B13" s="5">
        <v>46030</v>
      </c>
      <c r="C13" s="3">
        <v>0</v>
      </c>
      <c r="D13" s="4">
        <v>200</v>
      </c>
      <c r="E13" s="2">
        <v>0</v>
      </c>
      <c r="F13" s="2">
        <v>0</v>
      </c>
      <c r="G13" s="2">
        <v>0</v>
      </c>
      <c r="H13" s="2">
        <v>0</v>
      </c>
      <c r="I13" s="6">
        <f t="shared" si="0"/>
        <v>581.52999999999963</v>
      </c>
      <c r="J13" s="6">
        <f t="shared" si="2"/>
        <v>0</v>
      </c>
      <c r="K13" s="15">
        <f t="shared" si="3"/>
        <v>0</v>
      </c>
      <c r="L13" s="6">
        <f t="shared" si="4"/>
        <v>11957.76</v>
      </c>
      <c r="M13" s="2" t="s">
        <v>18</v>
      </c>
      <c r="N13" s="11">
        <f>N8 + (O5-N7)</f>
        <v>929.91999999999973</v>
      </c>
      <c r="O13" s="4">
        <f>SUM(D8:D12)</f>
        <v>800</v>
      </c>
      <c r="P13" s="2"/>
      <c r="Q13" s="11">
        <f>Q8 + (Q5-Q7)</f>
        <v>2977.93</v>
      </c>
      <c r="R13" s="11">
        <f>R8 + (R5-R7) + O7</f>
        <v>11957.76</v>
      </c>
      <c r="S13" s="6">
        <f t="shared" si="1"/>
        <v>581.52999999999963</v>
      </c>
      <c r="T13" s="10">
        <f>N13+Q13+R13</f>
        <v>15865.61</v>
      </c>
      <c r="U13" s="13">
        <f>S13-T13</f>
        <v>-15284.080000000002</v>
      </c>
    </row>
    <row r="14" spans="1:21" x14ac:dyDescent="0.25">
      <c r="A14" s="7"/>
      <c r="B14" s="5">
        <v>46037</v>
      </c>
      <c r="C14" s="3">
        <v>3500</v>
      </c>
      <c r="D14" s="4">
        <v>200</v>
      </c>
      <c r="E14" s="2">
        <v>0</v>
      </c>
      <c r="F14" s="2">
        <v>0</v>
      </c>
      <c r="G14" s="2">
        <v>0</v>
      </c>
      <c r="H14" s="2">
        <v>0</v>
      </c>
      <c r="I14" s="6">
        <f t="shared" si="0"/>
        <v>4081.5299999999997</v>
      </c>
      <c r="J14" s="6">
        <f t="shared" si="2"/>
        <v>0</v>
      </c>
      <c r="K14" s="15">
        <f t="shared" si="3"/>
        <v>0</v>
      </c>
      <c r="L14" s="6">
        <f t="shared" si="4"/>
        <v>12157.76</v>
      </c>
      <c r="M14" s="2"/>
      <c r="N14" s="19">
        <f>N13-H12</f>
        <v>0</v>
      </c>
      <c r="O14" s="2"/>
      <c r="P14" s="2"/>
      <c r="Q14" s="16">
        <f>Q13-F12</f>
        <v>0</v>
      </c>
      <c r="R14" s="11">
        <f>R13-G12</f>
        <v>10957.76</v>
      </c>
      <c r="S14" s="6">
        <f t="shared" si="1"/>
        <v>4081.5299999999997</v>
      </c>
      <c r="T14" s="10">
        <f>N14+Q14+R14</f>
        <v>10957.76</v>
      </c>
      <c r="U14" s="13">
        <f>S14-T14</f>
        <v>-6876.2300000000005</v>
      </c>
    </row>
    <row r="15" spans="1:21" x14ac:dyDescent="0.25">
      <c r="A15" s="7"/>
      <c r="B15" s="5">
        <v>46044</v>
      </c>
      <c r="C15" s="3">
        <v>0</v>
      </c>
      <c r="D15" s="4">
        <v>200</v>
      </c>
      <c r="E15" s="2">
        <v>0</v>
      </c>
      <c r="F15" s="2">
        <v>0</v>
      </c>
      <c r="G15" s="2">
        <v>0</v>
      </c>
      <c r="H15" s="2">
        <v>0</v>
      </c>
      <c r="I15" s="6">
        <f t="shared" si="0"/>
        <v>4081.5299999999997</v>
      </c>
      <c r="J15" s="6">
        <f t="shared" si="2"/>
        <v>0</v>
      </c>
      <c r="K15" s="15">
        <f t="shared" si="3"/>
        <v>0</v>
      </c>
      <c r="L15" s="6">
        <f t="shared" si="4"/>
        <v>12357.76</v>
      </c>
      <c r="M15" s="2" t="s">
        <v>18</v>
      </c>
      <c r="N15" s="2"/>
      <c r="O15" s="2"/>
      <c r="P15" s="2"/>
      <c r="Q15" s="2"/>
      <c r="R15" s="2"/>
      <c r="S15" s="6">
        <f t="shared" si="1"/>
        <v>4081.5299999999997</v>
      </c>
      <c r="T15" s="2"/>
      <c r="U15" s="2"/>
    </row>
    <row r="16" spans="1:21" x14ac:dyDescent="0.25">
      <c r="A16" s="7"/>
      <c r="B16" s="5">
        <v>46045</v>
      </c>
      <c r="C16" s="3">
        <v>0</v>
      </c>
      <c r="D16" s="4">
        <v>0</v>
      </c>
      <c r="E16" s="4">
        <v>1760</v>
      </c>
      <c r="F16" s="2">
        <v>0</v>
      </c>
      <c r="G16" s="2">
        <v>0</v>
      </c>
      <c r="H16" s="2">
        <v>0</v>
      </c>
      <c r="I16" s="6">
        <f t="shared" si="0"/>
        <v>2321.5299999999997</v>
      </c>
      <c r="J16" s="6">
        <f t="shared" si="2"/>
        <v>0</v>
      </c>
      <c r="K16" s="15">
        <f t="shared" si="3"/>
        <v>0</v>
      </c>
      <c r="L16" s="6">
        <f t="shared" si="4"/>
        <v>12357.76</v>
      </c>
      <c r="M16" s="2"/>
      <c r="N16" s="2"/>
      <c r="O16" s="2"/>
      <c r="P16" s="2"/>
      <c r="Q16" s="2"/>
      <c r="R16" s="2"/>
      <c r="S16" s="6">
        <f t="shared" si="1"/>
        <v>2321.5299999999997</v>
      </c>
      <c r="T16" s="2"/>
      <c r="U16" s="2"/>
    </row>
    <row r="17" spans="1:21" x14ac:dyDescent="0.25">
      <c r="A17" s="7"/>
      <c r="B17" s="5">
        <v>46051</v>
      </c>
      <c r="C17" s="3">
        <v>3500</v>
      </c>
      <c r="D17" s="4">
        <v>200</v>
      </c>
      <c r="E17" s="2">
        <v>0</v>
      </c>
      <c r="F17" s="2">
        <v>0</v>
      </c>
      <c r="G17" s="2">
        <v>0</v>
      </c>
      <c r="H17" s="2">
        <v>0</v>
      </c>
      <c r="I17" s="6">
        <f t="shared" si="0"/>
        <v>5821.53</v>
      </c>
      <c r="J17" s="6">
        <f t="shared" si="2"/>
        <v>0</v>
      </c>
      <c r="K17" s="15">
        <f t="shared" si="3"/>
        <v>0</v>
      </c>
      <c r="L17" s="6">
        <f t="shared" si="4"/>
        <v>12557.76</v>
      </c>
      <c r="M17" s="2" t="s">
        <v>7</v>
      </c>
      <c r="N17" s="2"/>
      <c r="O17" s="2"/>
      <c r="P17" s="2"/>
      <c r="Q17" s="2"/>
      <c r="R17" s="2"/>
      <c r="S17" s="6">
        <f t="shared" si="1"/>
        <v>5821.53</v>
      </c>
      <c r="T17" s="2"/>
      <c r="U17" s="2"/>
    </row>
    <row r="18" spans="1:21" x14ac:dyDescent="0.25">
      <c r="A18" s="7"/>
      <c r="B18" s="5">
        <v>46058</v>
      </c>
      <c r="C18" s="3">
        <v>0</v>
      </c>
      <c r="D18" s="4">
        <v>200</v>
      </c>
      <c r="E18" s="2">
        <v>0</v>
      </c>
      <c r="F18" s="12">
        <f>Q17</f>
        <v>0</v>
      </c>
      <c r="G18" s="12">
        <v>5000</v>
      </c>
      <c r="H18" s="9">
        <v>0</v>
      </c>
      <c r="I18" s="6">
        <f t="shared" si="0"/>
        <v>821.52999999999975</v>
      </c>
      <c r="J18" s="6">
        <f t="shared" si="2"/>
        <v>0</v>
      </c>
      <c r="K18" s="15">
        <f t="shared" si="3"/>
        <v>0</v>
      </c>
      <c r="L18" s="6">
        <f t="shared" si="4"/>
        <v>7757.76</v>
      </c>
      <c r="M18" s="2" t="s">
        <v>18</v>
      </c>
      <c r="N18" s="19">
        <f>N14</f>
        <v>0</v>
      </c>
      <c r="O18" s="4">
        <f>SUM(D13:D18)</f>
        <v>1000</v>
      </c>
      <c r="P18" s="2"/>
      <c r="Q18" s="16">
        <f>Q14</f>
        <v>0</v>
      </c>
      <c r="R18" s="11">
        <f>R14+O13</f>
        <v>11757.76</v>
      </c>
      <c r="S18" s="6">
        <f t="shared" si="1"/>
        <v>821.52999999999975</v>
      </c>
      <c r="T18" s="10">
        <f>N18+Q18+R18</f>
        <v>11757.76</v>
      </c>
      <c r="U18" s="14">
        <f>S17-T18</f>
        <v>-5936.2300000000005</v>
      </c>
    </row>
    <row r="19" spans="1:21" x14ac:dyDescent="0.25">
      <c r="A19" s="7"/>
      <c r="B19" s="5">
        <v>46065</v>
      </c>
      <c r="C19" s="3">
        <v>3500</v>
      </c>
      <c r="D19" s="4">
        <v>200</v>
      </c>
      <c r="E19" s="2">
        <v>0</v>
      </c>
      <c r="F19" s="2">
        <v>0</v>
      </c>
      <c r="G19" s="2">
        <v>0</v>
      </c>
      <c r="H19" s="2">
        <v>0</v>
      </c>
      <c r="I19" s="6">
        <f t="shared" si="0"/>
        <v>4321.53</v>
      </c>
      <c r="J19" s="15">
        <f t="shared" si="2"/>
        <v>0</v>
      </c>
      <c r="K19" s="15">
        <f t="shared" si="3"/>
        <v>0</v>
      </c>
      <c r="L19" s="6">
        <f t="shared" si="4"/>
        <v>7957.76</v>
      </c>
      <c r="M19" s="2"/>
      <c r="N19" s="19">
        <f>N18-H13</f>
        <v>0</v>
      </c>
      <c r="O19" s="2"/>
      <c r="P19" s="2"/>
      <c r="Q19" s="16">
        <f>Q18-F19</f>
        <v>0</v>
      </c>
      <c r="R19" s="11">
        <f>R18-G18</f>
        <v>6757.76</v>
      </c>
      <c r="S19" s="6">
        <f t="shared" si="1"/>
        <v>4321.53</v>
      </c>
      <c r="T19" s="10">
        <f>N19+Q19+R19</f>
        <v>6757.76</v>
      </c>
      <c r="U19" s="14">
        <f>S19-T19</f>
        <v>-2436.2300000000005</v>
      </c>
    </row>
    <row r="20" spans="1:21" x14ac:dyDescent="0.25">
      <c r="A20" s="7"/>
      <c r="B20" s="5">
        <v>46072</v>
      </c>
      <c r="C20" s="3">
        <v>0</v>
      </c>
      <c r="D20" s="4">
        <v>200</v>
      </c>
      <c r="E20" s="2">
        <v>0</v>
      </c>
      <c r="F20" s="2">
        <v>0</v>
      </c>
      <c r="G20" s="2">
        <v>0</v>
      </c>
      <c r="H20" s="2">
        <v>0</v>
      </c>
      <c r="I20" s="6">
        <f t="shared" si="0"/>
        <v>4321.53</v>
      </c>
      <c r="J20" s="15">
        <f t="shared" si="2"/>
        <v>0</v>
      </c>
      <c r="K20" s="15">
        <f t="shared" si="3"/>
        <v>0</v>
      </c>
      <c r="L20" s="6">
        <f t="shared" si="4"/>
        <v>8157.76</v>
      </c>
      <c r="M20" s="2" t="s">
        <v>18</v>
      </c>
      <c r="N20" s="2"/>
      <c r="O20" s="2"/>
      <c r="P20" s="2"/>
      <c r="Q20" s="2"/>
      <c r="R20" s="2"/>
      <c r="S20" s="6">
        <f t="shared" si="1"/>
        <v>4321.53</v>
      </c>
      <c r="T20" s="2"/>
      <c r="U20" s="2"/>
    </row>
    <row r="21" spans="1:21" x14ac:dyDescent="0.25">
      <c r="A21" s="7"/>
      <c r="B21" s="5">
        <v>46076</v>
      </c>
      <c r="C21" s="3">
        <v>0</v>
      </c>
      <c r="D21" s="4">
        <v>0</v>
      </c>
      <c r="E21" s="4">
        <v>1760</v>
      </c>
      <c r="F21" s="2">
        <v>0</v>
      </c>
      <c r="G21" s="2">
        <v>0</v>
      </c>
      <c r="H21" s="2">
        <v>0</v>
      </c>
      <c r="I21" s="6">
        <f t="shared" si="0"/>
        <v>2561.5299999999997</v>
      </c>
      <c r="J21" s="15">
        <f t="shared" si="2"/>
        <v>0</v>
      </c>
      <c r="K21" s="15">
        <f t="shared" si="3"/>
        <v>0</v>
      </c>
      <c r="L21" s="6">
        <f t="shared" si="4"/>
        <v>8157.76</v>
      </c>
      <c r="M21" s="2"/>
      <c r="N21" s="2"/>
      <c r="O21" s="2"/>
      <c r="P21" s="2"/>
      <c r="Q21" s="2"/>
      <c r="R21" s="2"/>
      <c r="S21" s="6">
        <f t="shared" si="1"/>
        <v>2561.5299999999997</v>
      </c>
      <c r="T21" s="2"/>
      <c r="U21" s="2"/>
    </row>
    <row r="22" spans="1:21" x14ac:dyDescent="0.25">
      <c r="A22" s="7"/>
      <c r="B22" s="5">
        <v>46079</v>
      </c>
      <c r="C22" s="3">
        <v>3500</v>
      </c>
      <c r="D22" s="4">
        <v>200</v>
      </c>
      <c r="E22" s="2">
        <v>0</v>
      </c>
      <c r="F22" s="2">
        <v>0</v>
      </c>
      <c r="G22" s="2">
        <v>0</v>
      </c>
      <c r="H22" s="2">
        <v>0</v>
      </c>
      <c r="I22" s="6">
        <f t="shared" si="0"/>
        <v>6061.53</v>
      </c>
      <c r="J22" s="15">
        <f t="shared" si="2"/>
        <v>0</v>
      </c>
      <c r="K22" s="15">
        <f t="shared" si="3"/>
        <v>0</v>
      </c>
      <c r="L22" s="6">
        <f t="shared" si="4"/>
        <v>8357.76</v>
      </c>
      <c r="M22" s="2" t="s">
        <v>18</v>
      </c>
      <c r="N22" s="2"/>
      <c r="O22" s="2"/>
      <c r="P22" s="2"/>
      <c r="Q22" s="2"/>
      <c r="R22" s="2"/>
      <c r="S22" s="6">
        <f t="shared" si="1"/>
        <v>6061.53</v>
      </c>
      <c r="T22" s="2"/>
      <c r="U22" s="2"/>
    </row>
    <row r="23" spans="1:21" x14ac:dyDescent="0.25">
      <c r="A23" s="7"/>
      <c r="B23" s="5">
        <v>46086</v>
      </c>
      <c r="C23" s="3">
        <v>0</v>
      </c>
      <c r="D23" s="4">
        <v>200</v>
      </c>
      <c r="E23" s="2">
        <v>0</v>
      </c>
      <c r="F23" s="12">
        <v>0</v>
      </c>
      <c r="G23" s="12">
        <v>5000</v>
      </c>
      <c r="H23" s="9">
        <v>0</v>
      </c>
      <c r="I23" s="6">
        <f t="shared" ref="I23" si="6">I22+C23-E23-F23-G23-H23</f>
        <v>1061.5299999999997</v>
      </c>
      <c r="J23" s="15">
        <f t="shared" ref="J23" si="7">J22-F23</f>
        <v>0</v>
      </c>
      <c r="K23" s="15">
        <f t="shared" ref="K23" si="8">K22-H23</f>
        <v>0</v>
      </c>
      <c r="L23" s="6">
        <f t="shared" ref="L23" si="9">L22-G23+D23</f>
        <v>3557.76</v>
      </c>
      <c r="M23" s="2"/>
      <c r="N23" s="2"/>
      <c r="O23" s="2"/>
      <c r="P23" s="2"/>
      <c r="Q23" s="2"/>
      <c r="R23" s="2"/>
      <c r="S23" s="6">
        <f t="shared" si="1"/>
        <v>1061.5299999999997</v>
      </c>
      <c r="T23" s="2"/>
      <c r="U23" s="2"/>
    </row>
    <row r="24" spans="1:21" x14ac:dyDescent="0.25">
      <c r="A24" s="7"/>
      <c r="B24" s="5">
        <v>46093</v>
      </c>
      <c r="C24" s="3">
        <v>3500</v>
      </c>
      <c r="D24" s="4">
        <v>200</v>
      </c>
      <c r="E24" s="2">
        <v>0</v>
      </c>
      <c r="F24" s="2">
        <v>0</v>
      </c>
      <c r="G24" s="2">
        <v>0</v>
      </c>
      <c r="H24" s="2">
        <v>0</v>
      </c>
      <c r="I24" s="6">
        <f t="shared" ref="I24:I25" si="10">I23+C24-E24-F24-G24-H24</f>
        <v>4561.53</v>
      </c>
      <c r="J24" s="15">
        <f t="shared" ref="J24:J25" si="11">J23-F24</f>
        <v>0</v>
      </c>
      <c r="K24" s="15">
        <f t="shared" ref="K24:K25" si="12">K23-H24</f>
        <v>0</v>
      </c>
      <c r="L24" s="6">
        <f t="shared" ref="L24:L25" si="13">L23-G24+D24</f>
        <v>3757.76</v>
      </c>
      <c r="M24" s="2"/>
      <c r="N24" s="19">
        <f>N19</f>
        <v>0</v>
      </c>
      <c r="O24" s="4">
        <f>SUM(D19:D23)</f>
        <v>800</v>
      </c>
      <c r="P24" s="2"/>
      <c r="Q24" s="16">
        <f>Q19</f>
        <v>0</v>
      </c>
      <c r="R24" s="11">
        <f>R19+O18</f>
        <v>7757.76</v>
      </c>
      <c r="S24" s="6">
        <f t="shared" si="1"/>
        <v>4561.53</v>
      </c>
      <c r="T24" s="2"/>
      <c r="U24" s="2"/>
    </row>
    <row r="25" spans="1:21" x14ac:dyDescent="0.25">
      <c r="A25" s="7"/>
      <c r="B25" s="5">
        <v>46100</v>
      </c>
      <c r="C25" s="3">
        <v>0</v>
      </c>
      <c r="D25" s="4">
        <v>200</v>
      </c>
      <c r="E25" s="2">
        <v>0</v>
      </c>
      <c r="F25" s="2">
        <v>0</v>
      </c>
      <c r="G25" s="2">
        <v>0</v>
      </c>
      <c r="H25" s="2">
        <v>0</v>
      </c>
      <c r="I25" s="6">
        <f t="shared" ref="I25:I27" si="14">I24+C25-E25-F25-G25-H25</f>
        <v>4561.53</v>
      </c>
      <c r="J25" s="15">
        <f t="shared" ref="J25:J27" si="15">J24-F25</f>
        <v>0</v>
      </c>
      <c r="K25" s="15">
        <f t="shared" ref="K25:K27" si="16">K24-H25</f>
        <v>0</v>
      </c>
      <c r="L25" s="6">
        <f t="shared" ref="L25:L27" si="17">L24-G25+D25</f>
        <v>3957.76</v>
      </c>
      <c r="M25" s="2"/>
      <c r="N25" s="19">
        <f>N24-H23</f>
        <v>0</v>
      </c>
      <c r="O25" s="2"/>
      <c r="P25" s="2"/>
      <c r="Q25" s="16">
        <f>Q24-F23</f>
        <v>0</v>
      </c>
      <c r="R25" s="11">
        <f>R24-G23</f>
        <v>2757.76</v>
      </c>
      <c r="S25" s="2"/>
      <c r="T25" s="2"/>
      <c r="U25" s="2"/>
    </row>
    <row r="26" spans="1:21" x14ac:dyDescent="0.25">
      <c r="A26" s="7"/>
      <c r="B26" s="5">
        <v>46104</v>
      </c>
      <c r="C26" s="3">
        <v>3500</v>
      </c>
      <c r="D26" s="4">
        <v>0</v>
      </c>
      <c r="E26" s="2">
        <v>0</v>
      </c>
      <c r="F26" s="2">
        <v>0</v>
      </c>
      <c r="G26" s="2">
        <v>0</v>
      </c>
      <c r="H26" s="2">
        <v>0</v>
      </c>
      <c r="I26" s="6">
        <f t="shared" si="14"/>
        <v>8061.53</v>
      </c>
      <c r="J26" s="15">
        <f t="shared" si="15"/>
        <v>0</v>
      </c>
      <c r="K26" s="15">
        <f t="shared" si="16"/>
        <v>0</v>
      </c>
      <c r="L26" s="6">
        <f t="shared" si="17"/>
        <v>3957.76</v>
      </c>
      <c r="M26" s="2" t="s">
        <v>18</v>
      </c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7"/>
      <c r="B27" s="5">
        <v>46107</v>
      </c>
      <c r="C27" s="3">
        <v>0</v>
      </c>
      <c r="D27" s="4">
        <v>200</v>
      </c>
      <c r="E27" s="4">
        <v>1760</v>
      </c>
      <c r="F27" s="2">
        <v>0</v>
      </c>
      <c r="G27" s="2">
        <v>0</v>
      </c>
      <c r="H27" s="2">
        <v>0</v>
      </c>
      <c r="I27" s="6">
        <f t="shared" si="14"/>
        <v>6301.53</v>
      </c>
      <c r="J27" s="15">
        <f t="shared" si="15"/>
        <v>0</v>
      </c>
      <c r="K27" s="15">
        <f t="shared" si="16"/>
        <v>0</v>
      </c>
      <c r="L27" s="6">
        <f t="shared" si="17"/>
        <v>4157.76</v>
      </c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7"/>
      <c r="B28" s="5">
        <v>46114</v>
      </c>
      <c r="C28" s="3">
        <v>0</v>
      </c>
      <c r="D28" s="4">
        <v>200</v>
      </c>
      <c r="E28" s="2">
        <v>0</v>
      </c>
      <c r="F28" s="12">
        <v>0</v>
      </c>
      <c r="G28" s="12">
        <v>3557.76</v>
      </c>
      <c r="H28" s="9">
        <v>0</v>
      </c>
      <c r="I28" s="6">
        <f t="shared" ref="I28" si="18">I27+C28-E28-F28-G28-H28</f>
        <v>2743.7699999999995</v>
      </c>
      <c r="J28" s="15">
        <f t="shared" ref="J28" si="19">J27-F28</f>
        <v>0</v>
      </c>
      <c r="K28" s="15">
        <f t="shared" ref="K28" si="20">K27-H28</f>
        <v>0</v>
      </c>
      <c r="L28" s="6">
        <f t="shared" ref="L28" si="21">L27-G28+D28</f>
        <v>800</v>
      </c>
      <c r="M28" s="2"/>
      <c r="N28" s="19">
        <f>N25</f>
        <v>0</v>
      </c>
      <c r="O28" s="4">
        <f>SUM(D23:D27)</f>
        <v>800</v>
      </c>
      <c r="P28" s="2"/>
      <c r="Q28" s="16">
        <f>Q25</f>
        <v>0</v>
      </c>
      <c r="R28" s="11">
        <f>R25+O24</f>
        <v>3557.76</v>
      </c>
      <c r="S28" s="2"/>
      <c r="T28" s="2"/>
      <c r="U28" s="2"/>
    </row>
    <row r="29" spans="1:21" x14ac:dyDescent="0.25">
      <c r="A29" s="7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9">
        <f>N28-H28</f>
        <v>0</v>
      </c>
      <c r="O29" s="2"/>
      <c r="P29" s="2"/>
      <c r="Q29" s="16">
        <f>Q28-F28</f>
        <v>0</v>
      </c>
      <c r="R29" s="16">
        <f>R28-G28</f>
        <v>0</v>
      </c>
      <c r="S29" s="2"/>
      <c r="T29" s="2"/>
      <c r="U29" s="2"/>
    </row>
    <row r="30" spans="1:21" x14ac:dyDescent="0.25">
      <c r="A30" s="7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mergeCells count="1">
    <mergeCell ref="N2:O2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Edwards</dc:creator>
  <cp:lastModifiedBy>Sam Edwards</cp:lastModifiedBy>
  <dcterms:created xsi:type="dcterms:W3CDTF">2025-07-12T22:22:01Z</dcterms:created>
  <dcterms:modified xsi:type="dcterms:W3CDTF">2025-11-17T07:10:02Z</dcterms:modified>
</cp:coreProperties>
</file>